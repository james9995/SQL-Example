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Work\Coding\SQL Example\"/>
    </mc:Choice>
  </mc:AlternateContent>
  <xr:revisionPtr revIDLastSave="0" documentId="13_ncr:1_{898406BD-A90B-4AE0-A665-0139BD5F3DBF}" xr6:coauthVersionLast="43" xr6:coauthVersionMax="43" xr10:uidLastSave="{00000000-0000-0000-0000-000000000000}"/>
  <bookViews>
    <workbookView xWindow="-120" yWindow="-120" windowWidth="29040" windowHeight="15840" xr2:uid="{94F8F0F9-9229-4F6E-89C6-3F057D576368}"/>
  </bookViews>
  <sheets>
    <sheet name="Charts" sheetId="2" r:id="rId1"/>
    <sheet name="PriceChangeData" sheetId="1" r:id="rId2"/>
    <sheet name="TickerList" sheetId="3" r:id="rId3"/>
  </sheets>
  <definedNames>
    <definedName name="ExternalData_1" localSheetId="2" hidden="1">TickerList!$A$1:$A$98</definedName>
    <definedName name="Query_from_sql1" localSheetId="1" hidden="1">PriceChangeData!$A$1:$D$251</definedName>
    <definedName name="strsql">Charts!$A$9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1" l="1"/>
  <c r="E3" i="1"/>
  <c r="E4" i="1"/>
  <c r="E5" i="1"/>
  <c r="F5" i="1" s="1"/>
  <c r="E6" i="1"/>
  <c r="E7" i="1"/>
  <c r="E8" i="1"/>
  <c r="E9" i="1"/>
  <c r="F9" i="1" s="1"/>
  <c r="E10" i="1"/>
  <c r="E11" i="1"/>
  <c r="E12" i="1"/>
  <c r="E13" i="1"/>
  <c r="F13" i="1" s="1"/>
  <c r="E14" i="1"/>
  <c r="E15" i="1"/>
  <c r="E16" i="1"/>
  <c r="E17" i="1"/>
  <c r="F17" i="1" s="1"/>
  <c r="E18" i="1"/>
  <c r="E19" i="1"/>
  <c r="E20" i="1"/>
  <c r="E21" i="1"/>
  <c r="F21" i="1" s="1"/>
  <c r="E22" i="1"/>
  <c r="E23" i="1"/>
  <c r="E24" i="1"/>
  <c r="E25" i="1"/>
  <c r="F25" i="1" s="1"/>
  <c r="E26" i="1"/>
  <c r="E27" i="1"/>
  <c r="E28" i="1"/>
  <c r="E29" i="1"/>
  <c r="F29" i="1" s="1"/>
  <c r="E30" i="1"/>
  <c r="E31" i="1"/>
  <c r="E32" i="1"/>
  <c r="E33" i="1"/>
  <c r="F33" i="1" s="1"/>
  <c r="E34" i="1"/>
  <c r="E35" i="1"/>
  <c r="E36" i="1"/>
  <c r="E37" i="1"/>
  <c r="F37" i="1" s="1"/>
  <c r="E38" i="1"/>
  <c r="E39" i="1"/>
  <c r="E40" i="1"/>
  <c r="E41" i="1"/>
  <c r="F41" i="1" s="1"/>
  <c r="E42" i="1"/>
  <c r="E43" i="1"/>
  <c r="E44" i="1"/>
  <c r="E45" i="1"/>
  <c r="F45" i="1" s="1"/>
  <c r="E46" i="1"/>
  <c r="E47" i="1"/>
  <c r="E48" i="1"/>
  <c r="E49" i="1"/>
  <c r="F49" i="1" s="1"/>
  <c r="E50" i="1"/>
  <c r="E51" i="1"/>
  <c r="E52" i="1"/>
  <c r="E53" i="1"/>
  <c r="F53" i="1" s="1"/>
  <c r="E54" i="1"/>
  <c r="E55" i="1"/>
  <c r="E56" i="1"/>
  <c r="E57" i="1"/>
  <c r="F57" i="1" s="1"/>
  <c r="E58" i="1"/>
  <c r="E59" i="1"/>
  <c r="E60" i="1"/>
  <c r="E61" i="1"/>
  <c r="F61" i="1" s="1"/>
  <c r="E62" i="1"/>
  <c r="E63" i="1"/>
  <c r="E64" i="1"/>
  <c r="E65" i="1"/>
  <c r="F65" i="1" s="1"/>
  <c r="E66" i="1"/>
  <c r="E67" i="1"/>
  <c r="E68" i="1"/>
  <c r="E69" i="1"/>
  <c r="F69" i="1" s="1"/>
  <c r="E70" i="1"/>
  <c r="E71" i="1"/>
  <c r="E72" i="1"/>
  <c r="E73" i="1"/>
  <c r="F73" i="1" s="1"/>
  <c r="E74" i="1"/>
  <c r="E75" i="1"/>
  <c r="E76" i="1"/>
  <c r="E77" i="1"/>
  <c r="F77" i="1" s="1"/>
  <c r="E78" i="1"/>
  <c r="E79" i="1"/>
  <c r="E80" i="1"/>
  <c r="E81" i="1"/>
  <c r="F81" i="1" s="1"/>
  <c r="E82" i="1"/>
  <c r="E83" i="1"/>
  <c r="E84" i="1"/>
  <c r="E85" i="1"/>
  <c r="F85" i="1" s="1"/>
  <c r="E86" i="1"/>
  <c r="E87" i="1"/>
  <c r="E88" i="1"/>
  <c r="E89" i="1"/>
  <c r="F89" i="1" s="1"/>
  <c r="E90" i="1"/>
  <c r="E91" i="1"/>
  <c r="E92" i="1"/>
  <c r="E93" i="1"/>
  <c r="F93" i="1" s="1"/>
  <c r="E94" i="1"/>
  <c r="E95" i="1"/>
  <c r="E96" i="1"/>
  <c r="E97" i="1"/>
  <c r="F97" i="1" s="1"/>
  <c r="E98" i="1"/>
  <c r="E99" i="1"/>
  <c r="E100" i="1"/>
  <c r="E101" i="1"/>
  <c r="F101" i="1" s="1"/>
  <c r="E102" i="1"/>
  <c r="E103" i="1"/>
  <c r="E104" i="1"/>
  <c r="E105" i="1"/>
  <c r="F105" i="1" s="1"/>
  <c r="E106" i="1"/>
  <c r="E107" i="1"/>
  <c r="E108" i="1"/>
  <c r="E109" i="1"/>
  <c r="F109" i="1" s="1"/>
  <c r="E110" i="1"/>
  <c r="E111" i="1"/>
  <c r="E112" i="1"/>
  <c r="E113" i="1"/>
  <c r="F113" i="1" s="1"/>
  <c r="E114" i="1"/>
  <c r="E115" i="1"/>
  <c r="E116" i="1"/>
  <c r="E117" i="1"/>
  <c r="F117" i="1" s="1"/>
  <c r="E118" i="1"/>
  <c r="E119" i="1"/>
  <c r="E120" i="1"/>
  <c r="E121" i="1"/>
  <c r="F121" i="1" s="1"/>
  <c r="E122" i="1"/>
  <c r="E123" i="1"/>
  <c r="E124" i="1"/>
  <c r="E125" i="1"/>
  <c r="F125" i="1" s="1"/>
  <c r="E126" i="1"/>
  <c r="E127" i="1"/>
  <c r="E128" i="1"/>
  <c r="E129" i="1"/>
  <c r="F129" i="1" s="1"/>
  <c r="E130" i="1"/>
  <c r="E131" i="1"/>
  <c r="E132" i="1"/>
  <c r="E133" i="1"/>
  <c r="F133" i="1" s="1"/>
  <c r="E134" i="1"/>
  <c r="E135" i="1"/>
  <c r="E136" i="1"/>
  <c r="E137" i="1"/>
  <c r="F137" i="1" s="1"/>
  <c r="E138" i="1"/>
  <c r="E139" i="1"/>
  <c r="E140" i="1"/>
  <c r="E141" i="1"/>
  <c r="F141" i="1" s="1"/>
  <c r="E142" i="1"/>
  <c r="E143" i="1"/>
  <c r="E144" i="1"/>
  <c r="E145" i="1"/>
  <c r="F145" i="1" s="1"/>
  <c r="E146" i="1"/>
  <c r="E147" i="1"/>
  <c r="E148" i="1"/>
  <c r="E149" i="1"/>
  <c r="F149" i="1" s="1"/>
  <c r="E150" i="1"/>
  <c r="E151" i="1"/>
  <c r="E152" i="1"/>
  <c r="E153" i="1"/>
  <c r="F153" i="1" s="1"/>
  <c r="E154" i="1"/>
  <c r="E155" i="1"/>
  <c r="E156" i="1"/>
  <c r="E157" i="1"/>
  <c r="F157" i="1" s="1"/>
  <c r="E158" i="1"/>
  <c r="E159" i="1"/>
  <c r="E160" i="1"/>
  <c r="E161" i="1"/>
  <c r="F161" i="1" s="1"/>
  <c r="E162" i="1"/>
  <c r="E163" i="1"/>
  <c r="E164" i="1"/>
  <c r="E165" i="1"/>
  <c r="F165" i="1" s="1"/>
  <c r="E166" i="1"/>
  <c r="E167" i="1"/>
  <c r="E168" i="1"/>
  <c r="E169" i="1"/>
  <c r="F169" i="1" s="1"/>
  <c r="E170" i="1"/>
  <c r="E171" i="1"/>
  <c r="E172" i="1"/>
  <c r="E173" i="1"/>
  <c r="F173" i="1" s="1"/>
  <c r="E174" i="1"/>
  <c r="E175" i="1"/>
  <c r="E176" i="1"/>
  <c r="E177" i="1"/>
  <c r="F177" i="1" s="1"/>
  <c r="E178" i="1"/>
  <c r="E179" i="1"/>
  <c r="E180" i="1"/>
  <c r="E181" i="1"/>
  <c r="F181" i="1" s="1"/>
  <c r="E182" i="1"/>
  <c r="E183" i="1"/>
  <c r="E184" i="1"/>
  <c r="E185" i="1"/>
  <c r="F185" i="1" s="1"/>
  <c r="E186" i="1"/>
  <c r="E187" i="1"/>
  <c r="E188" i="1"/>
  <c r="E189" i="1"/>
  <c r="F189" i="1" s="1"/>
  <c r="E190" i="1"/>
  <c r="E191" i="1"/>
  <c r="E192" i="1"/>
  <c r="E193" i="1"/>
  <c r="F193" i="1" s="1"/>
  <c r="E194" i="1"/>
  <c r="E195" i="1"/>
  <c r="E196" i="1"/>
  <c r="E197" i="1"/>
  <c r="F197" i="1" s="1"/>
  <c r="E198" i="1"/>
  <c r="E199" i="1"/>
  <c r="E200" i="1"/>
  <c r="E201" i="1"/>
  <c r="F201" i="1" s="1"/>
  <c r="E202" i="1"/>
  <c r="E203" i="1"/>
  <c r="E204" i="1"/>
  <c r="E205" i="1"/>
  <c r="F205" i="1" s="1"/>
  <c r="E206" i="1"/>
  <c r="E207" i="1"/>
  <c r="E208" i="1"/>
  <c r="E209" i="1"/>
  <c r="F209" i="1" s="1"/>
  <c r="E210" i="1"/>
  <c r="E211" i="1"/>
  <c r="E212" i="1"/>
  <c r="E213" i="1"/>
  <c r="F213" i="1" s="1"/>
  <c r="E214" i="1"/>
  <c r="E215" i="1"/>
  <c r="E216" i="1"/>
  <c r="E217" i="1"/>
  <c r="F217" i="1" s="1"/>
  <c r="E218" i="1"/>
  <c r="E219" i="1"/>
  <c r="E220" i="1"/>
  <c r="E221" i="1"/>
  <c r="F221" i="1" s="1"/>
  <c r="E222" i="1"/>
  <c r="E223" i="1"/>
  <c r="E224" i="1"/>
  <c r="E225" i="1"/>
  <c r="F225" i="1" s="1"/>
  <c r="E226" i="1"/>
  <c r="E227" i="1"/>
  <c r="E228" i="1"/>
  <c r="E229" i="1"/>
  <c r="F229" i="1" s="1"/>
  <c r="E230" i="1"/>
  <c r="E231" i="1"/>
  <c r="E232" i="1"/>
  <c r="E233" i="1"/>
  <c r="F233" i="1" s="1"/>
  <c r="E234" i="1"/>
  <c r="E235" i="1"/>
  <c r="E236" i="1"/>
  <c r="E237" i="1"/>
  <c r="F237" i="1" s="1"/>
  <c r="E238" i="1"/>
  <c r="E239" i="1"/>
  <c r="E240" i="1"/>
  <c r="E241" i="1"/>
  <c r="F241" i="1" s="1"/>
  <c r="E242" i="1"/>
  <c r="E243" i="1"/>
  <c r="E244" i="1"/>
  <c r="E245" i="1"/>
  <c r="F245" i="1" s="1"/>
  <c r="E246" i="1"/>
  <c r="E247" i="1"/>
  <c r="E248" i="1"/>
  <c r="E249" i="1"/>
  <c r="F249" i="1" s="1"/>
  <c r="E250" i="1"/>
  <c r="E251" i="1"/>
  <c r="F2" i="1"/>
  <c r="F3" i="1"/>
  <c r="F4" i="1"/>
  <c r="F6" i="1"/>
  <c r="F7" i="1"/>
  <c r="F8" i="1"/>
  <c r="F10" i="1"/>
  <c r="F11" i="1"/>
  <c r="F12" i="1"/>
  <c r="F14" i="1"/>
  <c r="F15" i="1"/>
  <c r="F16" i="1"/>
  <c r="F18" i="1"/>
  <c r="F19" i="1"/>
  <c r="F20" i="1"/>
  <c r="F22" i="1"/>
  <c r="F23" i="1"/>
  <c r="F24" i="1"/>
  <c r="F26" i="1"/>
  <c r="F27" i="1"/>
  <c r="F28" i="1"/>
  <c r="F30" i="1"/>
  <c r="F31" i="1"/>
  <c r="F32" i="1"/>
  <c r="F34" i="1"/>
  <c r="F35" i="1"/>
  <c r="F36" i="1"/>
  <c r="F38" i="1"/>
  <c r="F39" i="1"/>
  <c r="F40" i="1"/>
  <c r="F42" i="1"/>
  <c r="F43" i="1"/>
  <c r="F44" i="1"/>
  <c r="F46" i="1"/>
  <c r="F47" i="1"/>
  <c r="F48" i="1"/>
  <c r="F50" i="1"/>
  <c r="F51" i="1"/>
  <c r="F52" i="1"/>
  <c r="F54" i="1"/>
  <c r="F55" i="1"/>
  <c r="F56" i="1"/>
  <c r="F58" i="1"/>
  <c r="F59" i="1"/>
  <c r="F60" i="1"/>
  <c r="F62" i="1"/>
  <c r="F63" i="1"/>
  <c r="F64" i="1"/>
  <c r="F66" i="1"/>
  <c r="F67" i="1"/>
  <c r="F68" i="1"/>
  <c r="F70" i="1"/>
  <c r="F71" i="1"/>
  <c r="F72" i="1"/>
  <c r="F74" i="1"/>
  <c r="F75" i="1"/>
  <c r="F76" i="1"/>
  <c r="F78" i="1"/>
  <c r="F79" i="1"/>
  <c r="F80" i="1"/>
  <c r="F82" i="1"/>
  <c r="F83" i="1"/>
  <c r="F84" i="1"/>
  <c r="F86" i="1"/>
  <c r="F87" i="1"/>
  <c r="F88" i="1"/>
  <c r="F90" i="1"/>
  <c r="F91" i="1"/>
  <c r="F92" i="1"/>
  <c r="F94" i="1"/>
  <c r="F95" i="1"/>
  <c r="F96" i="1"/>
  <c r="F98" i="1"/>
  <c r="F99" i="1"/>
  <c r="F100" i="1"/>
  <c r="F102" i="1"/>
  <c r="F103" i="1"/>
  <c r="F104" i="1"/>
  <c r="F106" i="1"/>
  <c r="F107" i="1"/>
  <c r="F108" i="1"/>
  <c r="F110" i="1"/>
  <c r="F111" i="1"/>
  <c r="F112" i="1"/>
  <c r="F114" i="1"/>
  <c r="F115" i="1"/>
  <c r="F116" i="1"/>
  <c r="F118" i="1"/>
  <c r="F119" i="1"/>
  <c r="F120" i="1"/>
  <c r="F122" i="1"/>
  <c r="F123" i="1"/>
  <c r="F124" i="1"/>
  <c r="F126" i="1"/>
  <c r="F127" i="1"/>
  <c r="F128" i="1"/>
  <c r="F130" i="1"/>
  <c r="F131" i="1"/>
  <c r="F132" i="1"/>
  <c r="F134" i="1"/>
  <c r="F135" i="1"/>
  <c r="F136" i="1"/>
  <c r="F138" i="1"/>
  <c r="F139" i="1"/>
  <c r="F140" i="1"/>
  <c r="F142" i="1"/>
  <c r="F143" i="1"/>
  <c r="F144" i="1"/>
  <c r="F146" i="1"/>
  <c r="F147" i="1"/>
  <c r="F148" i="1"/>
  <c r="F150" i="1"/>
  <c r="F151" i="1"/>
  <c r="F152" i="1"/>
  <c r="F154" i="1"/>
  <c r="F155" i="1"/>
  <c r="F156" i="1"/>
  <c r="F158" i="1"/>
  <c r="F159" i="1"/>
  <c r="F160" i="1"/>
  <c r="F162" i="1"/>
  <c r="F163" i="1"/>
  <c r="F164" i="1"/>
  <c r="F166" i="1"/>
  <c r="F167" i="1"/>
  <c r="F168" i="1"/>
  <c r="F170" i="1"/>
  <c r="F171" i="1"/>
  <c r="F172" i="1"/>
  <c r="F174" i="1"/>
  <c r="F175" i="1"/>
  <c r="F176" i="1"/>
  <c r="F178" i="1"/>
  <c r="F179" i="1"/>
  <c r="F180" i="1"/>
  <c r="F182" i="1"/>
  <c r="F183" i="1"/>
  <c r="F184" i="1"/>
  <c r="F186" i="1"/>
  <c r="F187" i="1"/>
  <c r="F188" i="1"/>
  <c r="F190" i="1"/>
  <c r="F191" i="1"/>
  <c r="F192" i="1"/>
  <c r="F194" i="1"/>
  <c r="F195" i="1"/>
  <c r="F196" i="1"/>
  <c r="F198" i="1"/>
  <c r="F199" i="1"/>
  <c r="F200" i="1"/>
  <c r="F202" i="1"/>
  <c r="F203" i="1"/>
  <c r="F204" i="1"/>
  <c r="F206" i="1"/>
  <c r="F207" i="1"/>
  <c r="F208" i="1"/>
  <c r="F210" i="1"/>
  <c r="F211" i="1"/>
  <c r="F212" i="1"/>
  <c r="F214" i="1"/>
  <c r="F215" i="1"/>
  <c r="F216" i="1"/>
  <c r="F218" i="1"/>
  <c r="F219" i="1"/>
  <c r="F220" i="1"/>
  <c r="F222" i="1"/>
  <c r="F223" i="1"/>
  <c r="F224" i="1"/>
  <c r="F226" i="1"/>
  <c r="F227" i="1"/>
  <c r="F228" i="1"/>
  <c r="F230" i="1"/>
  <c r="F231" i="1"/>
  <c r="F232" i="1"/>
  <c r="F234" i="1"/>
  <c r="F235" i="1"/>
  <c r="F236" i="1"/>
  <c r="F238" i="1"/>
  <c r="F239" i="1"/>
  <c r="F240" i="1"/>
  <c r="F242" i="1"/>
  <c r="F243" i="1"/>
  <c r="F244" i="1"/>
  <c r="F246" i="1"/>
  <c r="F247" i="1"/>
  <c r="F248" i="1"/>
  <c r="F250" i="1"/>
  <c r="F251" i="1"/>
  <c r="H15" i="2" l="1"/>
  <c r="G15" i="2"/>
  <c r="G16" i="2" s="1"/>
  <c r="F15" i="2"/>
  <c r="F16" i="2" s="1"/>
  <c r="E15" i="2"/>
  <c r="E16" i="2" s="1"/>
  <c r="D15" i="2"/>
  <c r="A5" i="2"/>
  <c r="A6" i="2"/>
  <c r="A7" i="2"/>
  <c r="A4" i="2"/>
  <c r="A3" i="2"/>
  <c r="C12" i="2"/>
  <c r="A8" i="2" l="1"/>
  <c r="A9" i="2" s="1"/>
  <c r="H16" i="2"/>
  <c r="C11" i="2"/>
  <c r="C16" i="2" s="1"/>
  <c r="C17" i="2" s="1"/>
  <c r="H17" i="2" s="1"/>
  <c r="C18" i="2" l="1"/>
  <c r="E17" i="2"/>
  <c r="D17" i="2"/>
  <c r="F17" i="2"/>
  <c r="G17" i="2"/>
  <c r="E18" i="2" l="1"/>
  <c r="F18" i="2"/>
  <c r="D18" i="2"/>
  <c r="C19" i="2"/>
  <c r="G18" i="2"/>
  <c r="H18" i="2"/>
  <c r="E19" i="2" l="1"/>
  <c r="G19" i="2"/>
  <c r="F19" i="2"/>
  <c r="C20" i="2"/>
  <c r="C21" i="2" s="1"/>
  <c r="D19" i="2"/>
  <c r="D20" i="2" s="1"/>
  <c r="H19" i="2"/>
  <c r="H20" i="2" l="1"/>
  <c r="H21" i="2" s="1"/>
  <c r="G20" i="2"/>
  <c r="G21" i="2" s="1"/>
  <c r="C22" i="2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C96" i="2" s="1"/>
  <c r="C97" i="2" s="1"/>
  <c r="C98" i="2" s="1"/>
  <c r="C99" i="2" s="1"/>
  <c r="C100" i="2" s="1"/>
  <c r="C101" i="2" s="1"/>
  <c r="C102" i="2" s="1"/>
  <c r="C103" i="2" s="1"/>
  <c r="C104" i="2" s="1"/>
  <c r="C105" i="2" s="1"/>
  <c r="C106" i="2" s="1"/>
  <c r="C107" i="2" s="1"/>
  <c r="C108" i="2" s="1"/>
  <c r="C109" i="2" s="1"/>
  <c r="C110" i="2" s="1"/>
  <c r="C111" i="2" s="1"/>
  <c r="C112" i="2" s="1"/>
  <c r="C113" i="2" s="1"/>
  <c r="C114" i="2" s="1"/>
  <c r="C115" i="2" s="1"/>
  <c r="C116" i="2" s="1"/>
  <c r="C117" i="2" s="1"/>
  <c r="C118" i="2" s="1"/>
  <c r="C119" i="2" s="1"/>
  <c r="C120" i="2" s="1"/>
  <c r="C121" i="2" s="1"/>
  <c r="C122" i="2" s="1"/>
  <c r="C123" i="2" s="1"/>
  <c r="C124" i="2" s="1"/>
  <c r="C125" i="2" s="1"/>
  <c r="C126" i="2" s="1"/>
  <c r="C127" i="2" s="1"/>
  <c r="C128" i="2" s="1"/>
  <c r="C129" i="2" s="1"/>
  <c r="C130" i="2" s="1"/>
  <c r="C131" i="2" s="1"/>
  <c r="C132" i="2" s="1"/>
  <c r="C133" i="2" s="1"/>
  <c r="C134" i="2" s="1"/>
  <c r="C135" i="2" s="1"/>
  <c r="C136" i="2" s="1"/>
  <c r="C137" i="2" s="1"/>
  <c r="C138" i="2" s="1"/>
  <c r="C139" i="2" s="1"/>
  <c r="C140" i="2" s="1"/>
  <c r="C141" i="2" s="1"/>
  <c r="C142" i="2" s="1"/>
  <c r="C143" i="2" s="1"/>
  <c r="C144" i="2" s="1"/>
  <c r="C145" i="2" s="1"/>
  <c r="C146" i="2" s="1"/>
  <c r="C147" i="2" s="1"/>
  <c r="C148" i="2" s="1"/>
  <c r="C149" i="2" s="1"/>
  <c r="C150" i="2" s="1"/>
  <c r="C151" i="2" s="1"/>
  <c r="C152" i="2" s="1"/>
  <c r="C153" i="2" s="1"/>
  <c r="C154" i="2" s="1"/>
  <c r="C155" i="2" s="1"/>
  <c r="C156" i="2" s="1"/>
  <c r="C157" i="2" s="1"/>
  <c r="C158" i="2" s="1"/>
  <c r="C159" i="2" s="1"/>
  <c r="C160" i="2" s="1"/>
  <c r="C161" i="2" s="1"/>
  <c r="C162" i="2" s="1"/>
  <c r="C163" i="2" s="1"/>
  <c r="C164" i="2" s="1"/>
  <c r="C165" i="2" s="1"/>
  <c r="C166" i="2" s="1"/>
  <c r="C167" i="2" s="1"/>
  <c r="C168" i="2" s="1"/>
  <c r="C169" i="2" s="1"/>
  <c r="C170" i="2" s="1"/>
  <c r="C171" i="2" s="1"/>
  <c r="C172" i="2" s="1"/>
  <c r="C173" i="2" s="1"/>
  <c r="C174" i="2" s="1"/>
  <c r="C175" i="2" s="1"/>
  <c r="C176" i="2" s="1"/>
  <c r="C177" i="2" s="1"/>
  <c r="C178" i="2" s="1"/>
  <c r="C179" i="2" s="1"/>
  <c r="C180" i="2" s="1"/>
  <c r="C181" i="2" s="1"/>
  <c r="C182" i="2" s="1"/>
  <c r="C183" i="2" s="1"/>
  <c r="C184" i="2" s="1"/>
  <c r="C185" i="2" s="1"/>
  <c r="C186" i="2" s="1"/>
  <c r="C187" i="2" s="1"/>
  <c r="C188" i="2" s="1"/>
  <c r="C189" i="2" s="1"/>
  <c r="C190" i="2" s="1"/>
  <c r="C191" i="2" s="1"/>
  <c r="C192" i="2" s="1"/>
  <c r="C193" i="2" s="1"/>
  <c r="C194" i="2" s="1"/>
  <c r="C195" i="2" s="1"/>
  <c r="C196" i="2" s="1"/>
  <c r="C197" i="2" s="1"/>
  <c r="C198" i="2" s="1"/>
  <c r="C199" i="2" s="1"/>
  <c r="C200" i="2" s="1"/>
  <c r="C201" i="2" s="1"/>
  <c r="C202" i="2" s="1"/>
  <c r="C203" i="2" s="1"/>
  <c r="C204" i="2" s="1"/>
  <c r="C205" i="2" s="1"/>
  <c r="C206" i="2" s="1"/>
  <c r="C207" i="2" s="1"/>
  <c r="C208" i="2" s="1"/>
  <c r="C209" i="2" s="1"/>
  <c r="C210" i="2" s="1"/>
  <c r="C211" i="2" s="1"/>
  <c r="C212" i="2" s="1"/>
  <c r="C213" i="2" s="1"/>
  <c r="C214" i="2" s="1"/>
  <c r="C215" i="2" s="1"/>
  <c r="C216" i="2" s="1"/>
  <c r="C217" i="2" s="1"/>
  <c r="C218" i="2" s="1"/>
  <c r="C219" i="2" s="1"/>
  <c r="C220" i="2" s="1"/>
  <c r="C221" i="2" s="1"/>
  <c r="C222" i="2" s="1"/>
  <c r="C223" i="2" s="1"/>
  <c r="C224" i="2" s="1"/>
  <c r="C225" i="2" s="1"/>
  <c r="C226" i="2" s="1"/>
  <c r="C227" i="2" s="1"/>
  <c r="C228" i="2" s="1"/>
  <c r="C229" i="2" s="1"/>
  <c r="C230" i="2" s="1"/>
  <c r="C231" i="2" s="1"/>
  <c r="C232" i="2" s="1"/>
  <c r="C233" i="2" s="1"/>
  <c r="C234" i="2" s="1"/>
  <c r="C235" i="2" s="1"/>
  <c r="C236" i="2" s="1"/>
  <c r="C237" i="2" s="1"/>
  <c r="C238" i="2" s="1"/>
  <c r="C239" i="2" s="1"/>
  <c r="C240" i="2" s="1"/>
  <c r="C241" i="2" s="1"/>
  <c r="C242" i="2" s="1"/>
  <c r="C243" i="2" s="1"/>
  <c r="C244" i="2" s="1"/>
  <c r="C245" i="2" s="1"/>
  <c r="C246" i="2" s="1"/>
  <c r="C247" i="2" s="1"/>
  <c r="C248" i="2" s="1"/>
  <c r="C249" i="2" s="1"/>
  <c r="C250" i="2" s="1"/>
  <c r="C251" i="2" s="1"/>
  <c r="C252" i="2" s="1"/>
  <c r="C253" i="2" s="1"/>
  <c r="C254" i="2" s="1"/>
  <c r="C255" i="2" s="1"/>
  <c r="C256" i="2" s="1"/>
  <c r="C257" i="2" s="1"/>
  <c r="C258" i="2" s="1"/>
  <c r="C259" i="2" s="1"/>
  <c r="C260" i="2" s="1"/>
  <c r="C261" i="2" s="1"/>
  <c r="C262" i="2" s="1"/>
  <c r="C263" i="2" s="1"/>
  <c r="C264" i="2" s="1"/>
  <c r="C265" i="2" s="1"/>
  <c r="C266" i="2" s="1"/>
  <c r="C267" i="2" s="1"/>
  <c r="C268" i="2" s="1"/>
  <c r="C269" i="2" s="1"/>
  <c r="C270" i="2" s="1"/>
  <c r="C271" i="2" s="1"/>
  <c r="C272" i="2" s="1"/>
  <c r="C273" i="2" s="1"/>
  <c r="C274" i="2" s="1"/>
  <c r="C275" i="2" s="1"/>
  <c r="C276" i="2" s="1"/>
  <c r="C277" i="2" s="1"/>
  <c r="C278" i="2" s="1"/>
  <c r="C279" i="2" s="1"/>
  <c r="C280" i="2" s="1"/>
  <c r="C281" i="2" s="1"/>
  <c r="C282" i="2" s="1"/>
  <c r="C283" i="2" s="1"/>
  <c r="C284" i="2" s="1"/>
  <c r="C285" i="2" s="1"/>
  <c r="C286" i="2" s="1"/>
  <c r="C287" i="2" s="1"/>
  <c r="C288" i="2" s="1"/>
  <c r="C289" i="2" s="1"/>
  <c r="C290" i="2" s="1"/>
  <c r="C291" i="2" s="1"/>
  <c r="C292" i="2" s="1"/>
  <c r="C293" i="2" s="1"/>
  <c r="C294" i="2" s="1"/>
  <c r="C295" i="2" s="1"/>
  <c r="C296" i="2" s="1"/>
  <c r="C297" i="2" s="1"/>
  <c r="C298" i="2" s="1"/>
  <c r="C299" i="2" s="1"/>
  <c r="C300" i="2" s="1"/>
  <c r="C301" i="2" s="1"/>
  <c r="C302" i="2" s="1"/>
  <c r="C303" i="2" s="1"/>
  <c r="C304" i="2" s="1"/>
  <c r="C305" i="2" s="1"/>
  <c r="C306" i="2" s="1"/>
  <c r="C307" i="2" s="1"/>
  <c r="C308" i="2" s="1"/>
  <c r="C309" i="2" s="1"/>
  <c r="C310" i="2" s="1"/>
  <c r="C311" i="2" s="1"/>
  <c r="C312" i="2" s="1"/>
  <c r="C313" i="2" s="1"/>
  <c r="C314" i="2" s="1"/>
  <c r="C315" i="2" s="1"/>
  <c r="C316" i="2" s="1"/>
  <c r="C317" i="2" s="1"/>
  <c r="C318" i="2" s="1"/>
  <c r="C319" i="2" s="1"/>
  <c r="C320" i="2" s="1"/>
  <c r="C321" i="2" s="1"/>
  <c r="C322" i="2" s="1"/>
  <c r="C323" i="2" s="1"/>
  <c r="C324" i="2" s="1"/>
  <c r="C325" i="2" s="1"/>
  <c r="C326" i="2" s="1"/>
  <c r="C327" i="2" s="1"/>
  <c r="C328" i="2" s="1"/>
  <c r="C329" i="2" s="1"/>
  <c r="C330" i="2" s="1"/>
  <c r="C331" i="2" s="1"/>
  <c r="C332" i="2" s="1"/>
  <c r="C333" i="2" s="1"/>
  <c r="C334" i="2" s="1"/>
  <c r="C335" i="2" s="1"/>
  <c r="C336" i="2" s="1"/>
  <c r="C337" i="2" s="1"/>
  <c r="C338" i="2" s="1"/>
  <c r="C339" i="2" s="1"/>
  <c r="C340" i="2" s="1"/>
  <c r="C341" i="2" s="1"/>
  <c r="C342" i="2" s="1"/>
  <c r="C343" i="2" s="1"/>
  <c r="C344" i="2" s="1"/>
  <c r="C345" i="2" s="1"/>
  <c r="C346" i="2" s="1"/>
  <c r="C347" i="2" s="1"/>
  <c r="C348" i="2" s="1"/>
  <c r="C349" i="2" s="1"/>
  <c r="C350" i="2" s="1"/>
  <c r="C351" i="2" s="1"/>
  <c r="C352" i="2" s="1"/>
  <c r="C353" i="2" s="1"/>
  <c r="C354" i="2" s="1"/>
  <c r="C355" i="2" s="1"/>
  <c r="C356" i="2" s="1"/>
  <c r="C357" i="2" s="1"/>
  <c r="C358" i="2" s="1"/>
  <c r="C359" i="2" s="1"/>
  <c r="C360" i="2" s="1"/>
  <c r="C361" i="2" s="1"/>
  <c r="C362" i="2" s="1"/>
  <c r="C363" i="2" s="1"/>
  <c r="C364" i="2" s="1"/>
  <c r="C365" i="2" s="1"/>
  <c r="C366" i="2" s="1"/>
  <c r="C367" i="2" s="1"/>
  <c r="C368" i="2" s="1"/>
  <c r="C369" i="2" s="1"/>
  <c r="C370" i="2" s="1"/>
  <c r="C371" i="2" s="1"/>
  <c r="C372" i="2" s="1"/>
  <c r="C373" i="2" s="1"/>
  <c r="C374" i="2" s="1"/>
  <c r="C375" i="2" s="1"/>
  <c r="C376" i="2" s="1"/>
  <c r="C377" i="2" s="1"/>
  <c r="C378" i="2" s="1"/>
  <c r="C379" i="2" s="1"/>
  <c r="C380" i="2" s="1"/>
  <c r="D21" i="2"/>
  <c r="F20" i="2"/>
  <c r="F21" i="2" s="1"/>
  <c r="E20" i="2"/>
  <c r="E21" i="2" s="1"/>
  <c r="E22" i="2" l="1"/>
  <c r="E23" i="2" s="1"/>
  <c r="E24" i="2" s="1"/>
  <c r="E25" i="2" s="1"/>
  <c r="E26" i="2" s="1"/>
  <c r="E27" i="2" s="1"/>
  <c r="E28" i="2" s="1"/>
  <c r="E29" i="2" s="1"/>
  <c r="E30" i="2" s="1"/>
  <c r="E31" i="2" s="1"/>
  <c r="E32" i="2" s="1"/>
  <c r="E33" i="2" s="1"/>
  <c r="E34" i="2" s="1"/>
  <c r="E35" i="2" s="1"/>
  <c r="E36" i="2" s="1"/>
  <c r="E37" i="2" s="1"/>
  <c r="E38" i="2" s="1"/>
  <c r="E39" i="2" s="1"/>
  <c r="E40" i="2" s="1"/>
  <c r="E41" i="2" s="1"/>
  <c r="E42" i="2" s="1"/>
  <c r="E43" i="2" s="1"/>
  <c r="E44" i="2" s="1"/>
  <c r="E45" i="2" s="1"/>
  <c r="E46" i="2" s="1"/>
  <c r="E47" i="2" s="1"/>
  <c r="E48" i="2" s="1"/>
  <c r="E49" i="2" s="1"/>
  <c r="E50" i="2" s="1"/>
  <c r="E51" i="2" s="1"/>
  <c r="E52" i="2" s="1"/>
  <c r="E53" i="2" s="1"/>
  <c r="E54" i="2" s="1"/>
  <c r="E55" i="2" s="1"/>
  <c r="E56" i="2" s="1"/>
  <c r="E57" i="2" s="1"/>
  <c r="E58" i="2" s="1"/>
  <c r="E59" i="2" s="1"/>
  <c r="E60" i="2" s="1"/>
  <c r="E61" i="2" s="1"/>
  <c r="E62" i="2" s="1"/>
  <c r="E63" i="2" s="1"/>
  <c r="E64" i="2" s="1"/>
  <c r="E65" i="2" s="1"/>
  <c r="E66" i="2" s="1"/>
  <c r="E67" i="2" s="1"/>
  <c r="E68" i="2" s="1"/>
  <c r="E69" i="2" s="1"/>
  <c r="E70" i="2" s="1"/>
  <c r="E71" i="2" s="1"/>
  <c r="E72" i="2" s="1"/>
  <c r="E73" i="2" s="1"/>
  <c r="E74" i="2" s="1"/>
  <c r="E75" i="2" s="1"/>
  <c r="E76" i="2" s="1"/>
  <c r="E77" i="2" s="1"/>
  <c r="E78" i="2" s="1"/>
  <c r="E79" i="2" s="1"/>
  <c r="E80" i="2" s="1"/>
  <c r="E81" i="2" s="1"/>
  <c r="E82" i="2" s="1"/>
  <c r="E83" i="2" s="1"/>
  <c r="E84" i="2" s="1"/>
  <c r="E85" i="2" s="1"/>
  <c r="E86" i="2" s="1"/>
  <c r="E87" i="2" s="1"/>
  <c r="E88" i="2" s="1"/>
  <c r="E89" i="2" s="1"/>
  <c r="E90" i="2" s="1"/>
  <c r="E91" i="2" s="1"/>
  <c r="E92" i="2" s="1"/>
  <c r="E93" i="2" s="1"/>
  <c r="E94" i="2" s="1"/>
  <c r="E95" i="2" s="1"/>
  <c r="E96" i="2" s="1"/>
  <c r="E97" i="2" s="1"/>
  <c r="E98" i="2" s="1"/>
  <c r="E99" i="2" s="1"/>
  <c r="E100" i="2" s="1"/>
  <c r="E101" i="2" s="1"/>
  <c r="E102" i="2" s="1"/>
  <c r="E103" i="2" s="1"/>
  <c r="E104" i="2" s="1"/>
  <c r="E105" i="2" s="1"/>
  <c r="E106" i="2" s="1"/>
  <c r="E107" i="2" s="1"/>
  <c r="E108" i="2" s="1"/>
  <c r="E109" i="2" s="1"/>
  <c r="E110" i="2" s="1"/>
  <c r="E111" i="2" s="1"/>
  <c r="E112" i="2" s="1"/>
  <c r="E113" i="2" s="1"/>
  <c r="E114" i="2" s="1"/>
  <c r="E115" i="2" s="1"/>
  <c r="E116" i="2" s="1"/>
  <c r="E117" i="2" s="1"/>
  <c r="E118" i="2" s="1"/>
  <c r="E119" i="2" s="1"/>
  <c r="E120" i="2" s="1"/>
  <c r="E121" i="2" s="1"/>
  <c r="E122" i="2" s="1"/>
  <c r="E123" i="2" s="1"/>
  <c r="E124" i="2" s="1"/>
  <c r="E125" i="2" s="1"/>
  <c r="E126" i="2" s="1"/>
  <c r="E127" i="2" s="1"/>
  <c r="E128" i="2" s="1"/>
  <c r="E129" i="2" s="1"/>
  <c r="E130" i="2" s="1"/>
  <c r="E131" i="2" s="1"/>
  <c r="E132" i="2" s="1"/>
  <c r="E133" i="2" s="1"/>
  <c r="E134" i="2" s="1"/>
  <c r="E135" i="2" s="1"/>
  <c r="E136" i="2" s="1"/>
  <c r="E137" i="2" s="1"/>
  <c r="E138" i="2" s="1"/>
  <c r="E139" i="2" s="1"/>
  <c r="E140" i="2" s="1"/>
  <c r="E141" i="2" s="1"/>
  <c r="E142" i="2" s="1"/>
  <c r="E143" i="2" s="1"/>
  <c r="E144" i="2" s="1"/>
  <c r="E145" i="2" s="1"/>
  <c r="E146" i="2" s="1"/>
  <c r="E147" i="2" s="1"/>
  <c r="E148" i="2" s="1"/>
  <c r="E149" i="2" s="1"/>
  <c r="E150" i="2" s="1"/>
  <c r="E151" i="2" s="1"/>
  <c r="E152" i="2" s="1"/>
  <c r="E153" i="2" s="1"/>
  <c r="E154" i="2" s="1"/>
  <c r="E155" i="2" s="1"/>
  <c r="E156" i="2" s="1"/>
  <c r="E157" i="2" s="1"/>
  <c r="E158" i="2" s="1"/>
  <c r="E159" i="2" s="1"/>
  <c r="E160" i="2" s="1"/>
  <c r="E161" i="2" s="1"/>
  <c r="E162" i="2" s="1"/>
  <c r="E163" i="2" s="1"/>
  <c r="E164" i="2" s="1"/>
  <c r="E165" i="2" s="1"/>
  <c r="E166" i="2" s="1"/>
  <c r="E167" i="2" s="1"/>
  <c r="E168" i="2" s="1"/>
  <c r="E169" i="2" s="1"/>
  <c r="E170" i="2" s="1"/>
  <c r="E171" i="2" s="1"/>
  <c r="E172" i="2" s="1"/>
  <c r="E173" i="2" s="1"/>
  <c r="E174" i="2" s="1"/>
  <c r="E175" i="2" s="1"/>
  <c r="E176" i="2" s="1"/>
  <c r="E177" i="2" s="1"/>
  <c r="E178" i="2" s="1"/>
  <c r="E179" i="2" s="1"/>
  <c r="E180" i="2" s="1"/>
  <c r="E181" i="2" s="1"/>
  <c r="E182" i="2" s="1"/>
  <c r="E183" i="2" s="1"/>
  <c r="E184" i="2" s="1"/>
  <c r="E185" i="2" s="1"/>
  <c r="E186" i="2" s="1"/>
  <c r="E187" i="2" s="1"/>
  <c r="E188" i="2" s="1"/>
  <c r="E189" i="2" s="1"/>
  <c r="E190" i="2" s="1"/>
  <c r="E191" i="2" s="1"/>
  <c r="E192" i="2" s="1"/>
  <c r="E193" i="2" s="1"/>
  <c r="E194" i="2" s="1"/>
  <c r="E195" i="2" s="1"/>
  <c r="E196" i="2" s="1"/>
  <c r="E197" i="2" s="1"/>
  <c r="E198" i="2" s="1"/>
  <c r="E199" i="2" s="1"/>
  <c r="E200" i="2" s="1"/>
  <c r="E201" i="2" s="1"/>
  <c r="E202" i="2" s="1"/>
  <c r="E203" i="2" s="1"/>
  <c r="E204" i="2" s="1"/>
  <c r="E205" i="2" s="1"/>
  <c r="E206" i="2" s="1"/>
  <c r="E207" i="2" s="1"/>
  <c r="E208" i="2" s="1"/>
  <c r="E209" i="2" s="1"/>
  <c r="E210" i="2" s="1"/>
  <c r="E211" i="2" s="1"/>
  <c r="E212" i="2" s="1"/>
  <c r="E213" i="2" s="1"/>
  <c r="E214" i="2" s="1"/>
  <c r="E215" i="2" s="1"/>
  <c r="E216" i="2" s="1"/>
  <c r="E217" i="2" s="1"/>
  <c r="E218" i="2" s="1"/>
  <c r="E219" i="2" s="1"/>
  <c r="E220" i="2" s="1"/>
  <c r="E221" i="2" s="1"/>
  <c r="E222" i="2" s="1"/>
  <c r="E223" i="2" s="1"/>
  <c r="E224" i="2" s="1"/>
  <c r="E225" i="2" s="1"/>
  <c r="E226" i="2" s="1"/>
  <c r="E227" i="2" s="1"/>
  <c r="E228" i="2" s="1"/>
  <c r="E229" i="2" s="1"/>
  <c r="E230" i="2" s="1"/>
  <c r="E231" i="2" s="1"/>
  <c r="E232" i="2" s="1"/>
  <c r="E233" i="2" s="1"/>
  <c r="E234" i="2" s="1"/>
  <c r="E235" i="2" s="1"/>
  <c r="E236" i="2" s="1"/>
  <c r="E237" i="2" s="1"/>
  <c r="E238" i="2" s="1"/>
  <c r="E239" i="2" s="1"/>
  <c r="E240" i="2" s="1"/>
  <c r="E241" i="2" s="1"/>
  <c r="E242" i="2" s="1"/>
  <c r="E243" i="2" s="1"/>
  <c r="E244" i="2" s="1"/>
  <c r="E245" i="2" s="1"/>
  <c r="E246" i="2" s="1"/>
  <c r="E247" i="2" s="1"/>
  <c r="E248" i="2" s="1"/>
  <c r="E249" i="2" s="1"/>
  <c r="E250" i="2" s="1"/>
  <c r="E251" i="2" s="1"/>
  <c r="E252" i="2" s="1"/>
  <c r="E253" i="2" s="1"/>
  <c r="E254" i="2" s="1"/>
  <c r="E255" i="2" s="1"/>
  <c r="E256" i="2" s="1"/>
  <c r="E257" i="2" s="1"/>
  <c r="E258" i="2" s="1"/>
  <c r="E259" i="2" s="1"/>
  <c r="E260" i="2" s="1"/>
  <c r="E261" i="2" s="1"/>
  <c r="E262" i="2" s="1"/>
  <c r="E263" i="2" s="1"/>
  <c r="E264" i="2" s="1"/>
  <c r="E265" i="2" s="1"/>
  <c r="E266" i="2" s="1"/>
  <c r="E267" i="2" s="1"/>
  <c r="E268" i="2" s="1"/>
  <c r="E269" i="2" s="1"/>
  <c r="E270" i="2" s="1"/>
  <c r="E271" i="2" s="1"/>
  <c r="E272" i="2" s="1"/>
  <c r="E273" i="2" s="1"/>
  <c r="E274" i="2" s="1"/>
  <c r="E275" i="2" s="1"/>
  <c r="E276" i="2" s="1"/>
  <c r="E277" i="2" s="1"/>
  <c r="E278" i="2" s="1"/>
  <c r="E279" i="2" s="1"/>
  <c r="E280" i="2" s="1"/>
  <c r="E281" i="2" s="1"/>
  <c r="E282" i="2" s="1"/>
  <c r="E283" i="2" s="1"/>
  <c r="E284" i="2" s="1"/>
  <c r="E285" i="2" s="1"/>
  <c r="E286" i="2" s="1"/>
  <c r="E287" i="2" s="1"/>
  <c r="E288" i="2" s="1"/>
  <c r="E289" i="2" s="1"/>
  <c r="E290" i="2" s="1"/>
  <c r="E291" i="2" s="1"/>
  <c r="E292" i="2" s="1"/>
  <c r="E293" i="2" s="1"/>
  <c r="E294" i="2" s="1"/>
  <c r="E295" i="2" s="1"/>
  <c r="E296" i="2" s="1"/>
  <c r="E297" i="2" s="1"/>
  <c r="E298" i="2" s="1"/>
  <c r="E299" i="2" s="1"/>
  <c r="E300" i="2" s="1"/>
  <c r="E301" i="2" s="1"/>
  <c r="E302" i="2" s="1"/>
  <c r="E303" i="2" s="1"/>
  <c r="E304" i="2" s="1"/>
  <c r="E305" i="2" s="1"/>
  <c r="E306" i="2" s="1"/>
  <c r="E307" i="2" s="1"/>
  <c r="E308" i="2" s="1"/>
  <c r="E309" i="2" s="1"/>
  <c r="E310" i="2" s="1"/>
  <c r="E311" i="2" s="1"/>
  <c r="E312" i="2" s="1"/>
  <c r="E313" i="2" s="1"/>
  <c r="E314" i="2" s="1"/>
  <c r="E315" i="2" s="1"/>
  <c r="E316" i="2" s="1"/>
  <c r="E317" i="2" s="1"/>
  <c r="E318" i="2" s="1"/>
  <c r="E319" i="2" s="1"/>
  <c r="E320" i="2" s="1"/>
  <c r="E321" i="2" s="1"/>
  <c r="E322" i="2" s="1"/>
  <c r="E323" i="2" s="1"/>
  <c r="E324" i="2" s="1"/>
  <c r="E325" i="2" s="1"/>
  <c r="E326" i="2" s="1"/>
  <c r="E327" i="2" s="1"/>
  <c r="E328" i="2" s="1"/>
  <c r="E329" i="2" s="1"/>
  <c r="E330" i="2" s="1"/>
  <c r="E331" i="2" s="1"/>
  <c r="E332" i="2" s="1"/>
  <c r="E333" i="2" s="1"/>
  <c r="E334" i="2" s="1"/>
  <c r="E335" i="2" s="1"/>
  <c r="E336" i="2" s="1"/>
  <c r="E337" i="2" s="1"/>
  <c r="E338" i="2" s="1"/>
  <c r="E339" i="2" s="1"/>
  <c r="E340" i="2" s="1"/>
  <c r="E341" i="2" s="1"/>
  <c r="E342" i="2" s="1"/>
  <c r="E343" i="2" s="1"/>
  <c r="E344" i="2" s="1"/>
  <c r="E345" i="2" s="1"/>
  <c r="E346" i="2" s="1"/>
  <c r="E347" i="2" s="1"/>
  <c r="E348" i="2" s="1"/>
  <c r="E349" i="2" s="1"/>
  <c r="E350" i="2" s="1"/>
  <c r="E351" i="2" s="1"/>
  <c r="E352" i="2" s="1"/>
  <c r="E353" i="2" s="1"/>
  <c r="E354" i="2" s="1"/>
  <c r="E355" i="2" s="1"/>
  <c r="E356" i="2" s="1"/>
  <c r="E357" i="2" s="1"/>
  <c r="E358" i="2" s="1"/>
  <c r="E359" i="2" s="1"/>
  <c r="E360" i="2" s="1"/>
  <c r="E361" i="2" s="1"/>
  <c r="E362" i="2" s="1"/>
  <c r="E363" i="2" s="1"/>
  <c r="E364" i="2" s="1"/>
  <c r="E365" i="2" s="1"/>
  <c r="E366" i="2" s="1"/>
  <c r="E367" i="2" s="1"/>
  <c r="E368" i="2" s="1"/>
  <c r="E369" i="2" s="1"/>
  <c r="E370" i="2" s="1"/>
  <c r="E371" i="2" s="1"/>
  <c r="E372" i="2" s="1"/>
  <c r="E373" i="2" s="1"/>
  <c r="E374" i="2" s="1"/>
  <c r="E375" i="2" s="1"/>
  <c r="E376" i="2" s="1"/>
  <c r="E377" i="2" s="1"/>
  <c r="E378" i="2" s="1"/>
  <c r="E379" i="2" s="1"/>
  <c r="D4" i="2" s="1"/>
  <c r="G22" i="2"/>
  <c r="G23" i="2" s="1"/>
  <c r="G24" i="2" s="1"/>
  <c r="G25" i="2" s="1"/>
  <c r="G26" i="2" s="1"/>
  <c r="G27" i="2" s="1"/>
  <c r="G28" i="2" s="1"/>
  <c r="G29" i="2" s="1"/>
  <c r="G30" i="2" s="1"/>
  <c r="G31" i="2" s="1"/>
  <c r="G32" i="2" s="1"/>
  <c r="G33" i="2" s="1"/>
  <c r="G34" i="2" s="1"/>
  <c r="G35" i="2" s="1"/>
  <c r="G36" i="2" s="1"/>
  <c r="G37" i="2" s="1"/>
  <c r="G38" i="2" s="1"/>
  <c r="G39" i="2" s="1"/>
  <c r="G40" i="2" s="1"/>
  <c r="G41" i="2" s="1"/>
  <c r="G42" i="2" s="1"/>
  <c r="G43" i="2" s="1"/>
  <c r="G44" i="2" s="1"/>
  <c r="G45" i="2" s="1"/>
  <c r="G46" i="2" s="1"/>
  <c r="G47" i="2" s="1"/>
  <c r="G48" i="2" s="1"/>
  <c r="G49" i="2" s="1"/>
  <c r="G50" i="2" s="1"/>
  <c r="G51" i="2" s="1"/>
  <c r="G52" i="2" s="1"/>
  <c r="G53" i="2" s="1"/>
  <c r="G54" i="2" s="1"/>
  <c r="G55" i="2" s="1"/>
  <c r="G56" i="2" s="1"/>
  <c r="G57" i="2" s="1"/>
  <c r="G58" i="2" s="1"/>
  <c r="G59" i="2" s="1"/>
  <c r="G60" i="2" s="1"/>
  <c r="G61" i="2" s="1"/>
  <c r="G62" i="2" s="1"/>
  <c r="G63" i="2" s="1"/>
  <c r="G64" i="2" s="1"/>
  <c r="G65" i="2" s="1"/>
  <c r="G66" i="2" s="1"/>
  <c r="G67" i="2" s="1"/>
  <c r="G68" i="2" s="1"/>
  <c r="G69" i="2" s="1"/>
  <c r="G70" i="2" s="1"/>
  <c r="G71" i="2" s="1"/>
  <c r="G72" i="2" s="1"/>
  <c r="G73" i="2" s="1"/>
  <c r="G74" i="2" s="1"/>
  <c r="G75" i="2" s="1"/>
  <c r="G76" i="2" s="1"/>
  <c r="G77" i="2" s="1"/>
  <c r="G78" i="2" s="1"/>
  <c r="G79" i="2" s="1"/>
  <c r="G80" i="2" s="1"/>
  <c r="G81" i="2" s="1"/>
  <c r="G82" i="2" s="1"/>
  <c r="G83" i="2" s="1"/>
  <c r="G84" i="2" s="1"/>
  <c r="G85" i="2" s="1"/>
  <c r="G86" i="2" s="1"/>
  <c r="G87" i="2" s="1"/>
  <c r="G88" i="2" s="1"/>
  <c r="G89" i="2" s="1"/>
  <c r="G90" i="2" s="1"/>
  <c r="G91" i="2" s="1"/>
  <c r="G92" i="2" s="1"/>
  <c r="G93" i="2" s="1"/>
  <c r="G94" i="2" s="1"/>
  <c r="G95" i="2" s="1"/>
  <c r="G96" i="2" s="1"/>
  <c r="G97" i="2" s="1"/>
  <c r="G98" i="2" s="1"/>
  <c r="G99" i="2" s="1"/>
  <c r="G100" i="2" s="1"/>
  <c r="G101" i="2" s="1"/>
  <c r="G102" i="2" s="1"/>
  <c r="G103" i="2" s="1"/>
  <c r="G104" i="2" s="1"/>
  <c r="G105" i="2" s="1"/>
  <c r="G106" i="2" s="1"/>
  <c r="G107" i="2" s="1"/>
  <c r="G108" i="2" s="1"/>
  <c r="G109" i="2" s="1"/>
  <c r="G110" i="2" s="1"/>
  <c r="G111" i="2" s="1"/>
  <c r="G112" i="2" s="1"/>
  <c r="G113" i="2" s="1"/>
  <c r="G114" i="2" s="1"/>
  <c r="G115" i="2" s="1"/>
  <c r="G116" i="2" s="1"/>
  <c r="G117" i="2" s="1"/>
  <c r="G118" i="2" s="1"/>
  <c r="G119" i="2" s="1"/>
  <c r="G120" i="2" s="1"/>
  <c r="G121" i="2" s="1"/>
  <c r="G122" i="2" s="1"/>
  <c r="G123" i="2" s="1"/>
  <c r="G124" i="2" s="1"/>
  <c r="G125" i="2" s="1"/>
  <c r="G126" i="2" s="1"/>
  <c r="G127" i="2" s="1"/>
  <c r="G128" i="2" s="1"/>
  <c r="G129" i="2" s="1"/>
  <c r="G130" i="2" s="1"/>
  <c r="G131" i="2" s="1"/>
  <c r="G132" i="2" s="1"/>
  <c r="G133" i="2" s="1"/>
  <c r="G134" i="2" s="1"/>
  <c r="G135" i="2" s="1"/>
  <c r="G136" i="2" s="1"/>
  <c r="G137" i="2" s="1"/>
  <c r="G138" i="2" s="1"/>
  <c r="G139" i="2" s="1"/>
  <c r="G140" i="2" s="1"/>
  <c r="G141" i="2" s="1"/>
  <c r="G142" i="2" s="1"/>
  <c r="G143" i="2" s="1"/>
  <c r="G144" i="2" s="1"/>
  <c r="G145" i="2" s="1"/>
  <c r="G146" i="2" s="1"/>
  <c r="G147" i="2" s="1"/>
  <c r="G148" i="2" s="1"/>
  <c r="G149" i="2" s="1"/>
  <c r="G150" i="2" s="1"/>
  <c r="G151" i="2" s="1"/>
  <c r="G152" i="2" s="1"/>
  <c r="G153" i="2" s="1"/>
  <c r="G154" i="2" s="1"/>
  <c r="G155" i="2" s="1"/>
  <c r="G156" i="2" s="1"/>
  <c r="G157" i="2" s="1"/>
  <c r="G158" i="2" s="1"/>
  <c r="G159" i="2" s="1"/>
  <c r="G160" i="2" s="1"/>
  <c r="G161" i="2" s="1"/>
  <c r="G162" i="2" s="1"/>
  <c r="G163" i="2" s="1"/>
  <c r="G164" i="2" s="1"/>
  <c r="G165" i="2" s="1"/>
  <c r="G166" i="2" s="1"/>
  <c r="G167" i="2" s="1"/>
  <c r="G168" i="2" s="1"/>
  <c r="G169" i="2" s="1"/>
  <c r="G170" i="2" s="1"/>
  <c r="G171" i="2" s="1"/>
  <c r="G172" i="2" s="1"/>
  <c r="G173" i="2" s="1"/>
  <c r="G174" i="2" s="1"/>
  <c r="G175" i="2" s="1"/>
  <c r="G176" i="2" s="1"/>
  <c r="G177" i="2" s="1"/>
  <c r="G178" i="2" s="1"/>
  <c r="G179" i="2" s="1"/>
  <c r="G180" i="2" s="1"/>
  <c r="G181" i="2" s="1"/>
  <c r="G182" i="2" s="1"/>
  <c r="G183" i="2" s="1"/>
  <c r="G184" i="2" s="1"/>
  <c r="G185" i="2" s="1"/>
  <c r="G186" i="2" s="1"/>
  <c r="G187" i="2" s="1"/>
  <c r="G188" i="2" s="1"/>
  <c r="G189" i="2" s="1"/>
  <c r="G190" i="2" s="1"/>
  <c r="G191" i="2" s="1"/>
  <c r="G192" i="2" s="1"/>
  <c r="G193" i="2" s="1"/>
  <c r="G194" i="2" s="1"/>
  <c r="G195" i="2" s="1"/>
  <c r="G196" i="2" s="1"/>
  <c r="G197" i="2" s="1"/>
  <c r="G198" i="2" s="1"/>
  <c r="G199" i="2" s="1"/>
  <c r="G200" i="2" s="1"/>
  <c r="G201" i="2" s="1"/>
  <c r="G202" i="2" s="1"/>
  <c r="G203" i="2" s="1"/>
  <c r="G204" i="2" s="1"/>
  <c r="G205" i="2" s="1"/>
  <c r="G206" i="2" s="1"/>
  <c r="G207" i="2" s="1"/>
  <c r="G208" i="2" s="1"/>
  <c r="G209" i="2" s="1"/>
  <c r="G210" i="2" s="1"/>
  <c r="G211" i="2" s="1"/>
  <c r="G212" i="2" s="1"/>
  <c r="G213" i="2" s="1"/>
  <c r="G214" i="2" s="1"/>
  <c r="G215" i="2" s="1"/>
  <c r="G216" i="2" s="1"/>
  <c r="G217" i="2" s="1"/>
  <c r="G218" i="2" s="1"/>
  <c r="G219" i="2" s="1"/>
  <c r="G220" i="2" s="1"/>
  <c r="G221" i="2" s="1"/>
  <c r="G222" i="2" s="1"/>
  <c r="G223" i="2" s="1"/>
  <c r="G224" i="2" s="1"/>
  <c r="G225" i="2" s="1"/>
  <c r="G226" i="2" s="1"/>
  <c r="G227" i="2" s="1"/>
  <c r="G228" i="2" s="1"/>
  <c r="G229" i="2" s="1"/>
  <c r="G230" i="2" s="1"/>
  <c r="G231" i="2" s="1"/>
  <c r="G232" i="2" s="1"/>
  <c r="G233" i="2" s="1"/>
  <c r="G234" i="2" s="1"/>
  <c r="G235" i="2" s="1"/>
  <c r="G236" i="2" s="1"/>
  <c r="G237" i="2" s="1"/>
  <c r="G238" i="2" s="1"/>
  <c r="G239" i="2" s="1"/>
  <c r="G240" i="2" s="1"/>
  <c r="G241" i="2" s="1"/>
  <c r="G242" i="2" s="1"/>
  <c r="G243" i="2" s="1"/>
  <c r="G244" i="2" s="1"/>
  <c r="G245" i="2" s="1"/>
  <c r="G246" i="2" s="1"/>
  <c r="G247" i="2" s="1"/>
  <c r="G248" i="2" s="1"/>
  <c r="G249" i="2" s="1"/>
  <c r="G250" i="2" s="1"/>
  <c r="G251" i="2" s="1"/>
  <c r="G252" i="2" s="1"/>
  <c r="G253" i="2" s="1"/>
  <c r="G254" i="2" s="1"/>
  <c r="G255" i="2" s="1"/>
  <c r="G256" i="2" s="1"/>
  <c r="G257" i="2" s="1"/>
  <c r="G258" i="2" s="1"/>
  <c r="G259" i="2" s="1"/>
  <c r="G260" i="2" s="1"/>
  <c r="G261" i="2" s="1"/>
  <c r="G262" i="2" s="1"/>
  <c r="G263" i="2" s="1"/>
  <c r="G264" i="2" s="1"/>
  <c r="G265" i="2" s="1"/>
  <c r="G266" i="2" s="1"/>
  <c r="G267" i="2" s="1"/>
  <c r="G268" i="2" s="1"/>
  <c r="G269" i="2" s="1"/>
  <c r="G270" i="2" s="1"/>
  <c r="G271" i="2" s="1"/>
  <c r="G272" i="2" s="1"/>
  <c r="G273" i="2" s="1"/>
  <c r="G274" i="2" s="1"/>
  <c r="G275" i="2" s="1"/>
  <c r="G276" i="2" s="1"/>
  <c r="G277" i="2" s="1"/>
  <c r="G278" i="2" s="1"/>
  <c r="G279" i="2" s="1"/>
  <c r="G280" i="2" s="1"/>
  <c r="G281" i="2" s="1"/>
  <c r="G282" i="2" s="1"/>
  <c r="G283" i="2" s="1"/>
  <c r="G284" i="2" s="1"/>
  <c r="G285" i="2" s="1"/>
  <c r="G286" i="2" s="1"/>
  <c r="G287" i="2" s="1"/>
  <c r="G288" i="2" s="1"/>
  <c r="G289" i="2" s="1"/>
  <c r="G290" i="2" s="1"/>
  <c r="G291" i="2" s="1"/>
  <c r="G292" i="2" s="1"/>
  <c r="G293" i="2" s="1"/>
  <c r="G294" i="2" s="1"/>
  <c r="G295" i="2" s="1"/>
  <c r="G296" i="2" s="1"/>
  <c r="G297" i="2" s="1"/>
  <c r="G298" i="2" s="1"/>
  <c r="G299" i="2" s="1"/>
  <c r="G300" i="2" s="1"/>
  <c r="G301" i="2" s="1"/>
  <c r="G302" i="2" s="1"/>
  <c r="G303" i="2" s="1"/>
  <c r="G304" i="2" s="1"/>
  <c r="G305" i="2" s="1"/>
  <c r="G306" i="2" s="1"/>
  <c r="G307" i="2" s="1"/>
  <c r="G308" i="2" s="1"/>
  <c r="G309" i="2" s="1"/>
  <c r="G310" i="2" s="1"/>
  <c r="G311" i="2" s="1"/>
  <c r="G312" i="2" s="1"/>
  <c r="G313" i="2" s="1"/>
  <c r="G314" i="2" s="1"/>
  <c r="G315" i="2" s="1"/>
  <c r="G316" i="2" s="1"/>
  <c r="G317" i="2" s="1"/>
  <c r="G318" i="2" s="1"/>
  <c r="G319" i="2" s="1"/>
  <c r="G320" i="2" s="1"/>
  <c r="G321" i="2" s="1"/>
  <c r="G322" i="2" s="1"/>
  <c r="G323" i="2" s="1"/>
  <c r="G324" i="2" s="1"/>
  <c r="G325" i="2" s="1"/>
  <c r="G326" i="2" s="1"/>
  <c r="G327" i="2" s="1"/>
  <c r="G328" i="2" s="1"/>
  <c r="G329" i="2" s="1"/>
  <c r="G330" i="2" s="1"/>
  <c r="G331" i="2" s="1"/>
  <c r="G332" i="2" s="1"/>
  <c r="G333" i="2" s="1"/>
  <c r="G334" i="2" s="1"/>
  <c r="G335" i="2" s="1"/>
  <c r="G336" i="2" s="1"/>
  <c r="G337" i="2" s="1"/>
  <c r="G338" i="2" s="1"/>
  <c r="G339" i="2" s="1"/>
  <c r="G340" i="2" s="1"/>
  <c r="G341" i="2" s="1"/>
  <c r="G342" i="2" s="1"/>
  <c r="G343" i="2" s="1"/>
  <c r="G344" i="2" s="1"/>
  <c r="G345" i="2" s="1"/>
  <c r="G346" i="2" s="1"/>
  <c r="G347" i="2" s="1"/>
  <c r="G348" i="2" s="1"/>
  <c r="G349" i="2" s="1"/>
  <c r="G350" i="2" s="1"/>
  <c r="G351" i="2" s="1"/>
  <c r="G352" i="2" s="1"/>
  <c r="G353" i="2" s="1"/>
  <c r="G354" i="2" s="1"/>
  <c r="G355" i="2" s="1"/>
  <c r="G356" i="2" s="1"/>
  <c r="G357" i="2" s="1"/>
  <c r="G358" i="2" s="1"/>
  <c r="G359" i="2" s="1"/>
  <c r="G360" i="2" s="1"/>
  <c r="G361" i="2" s="1"/>
  <c r="G362" i="2" s="1"/>
  <c r="G363" i="2" s="1"/>
  <c r="G364" i="2" s="1"/>
  <c r="G365" i="2" s="1"/>
  <c r="G366" i="2" s="1"/>
  <c r="G367" i="2" s="1"/>
  <c r="G368" i="2" s="1"/>
  <c r="G369" i="2" s="1"/>
  <c r="G370" i="2" s="1"/>
  <c r="G371" i="2" s="1"/>
  <c r="G372" i="2" s="1"/>
  <c r="G373" i="2" s="1"/>
  <c r="G374" i="2" s="1"/>
  <c r="G375" i="2" s="1"/>
  <c r="G376" i="2" s="1"/>
  <c r="G377" i="2" s="1"/>
  <c r="G378" i="2" s="1"/>
  <c r="G379" i="2" s="1"/>
  <c r="D6" i="2" s="1"/>
  <c r="F22" i="2"/>
  <c r="F23" i="2" s="1"/>
  <c r="F24" i="2" s="1"/>
  <c r="F25" i="2" s="1"/>
  <c r="F26" i="2" s="1"/>
  <c r="F27" i="2" s="1"/>
  <c r="F28" i="2" s="1"/>
  <c r="F29" i="2" s="1"/>
  <c r="F30" i="2" s="1"/>
  <c r="F31" i="2" s="1"/>
  <c r="F32" i="2" s="1"/>
  <c r="F33" i="2" s="1"/>
  <c r="F34" i="2" s="1"/>
  <c r="F35" i="2" s="1"/>
  <c r="F36" i="2" s="1"/>
  <c r="F37" i="2" s="1"/>
  <c r="F38" i="2" s="1"/>
  <c r="F39" i="2" s="1"/>
  <c r="F40" i="2" s="1"/>
  <c r="F41" i="2" s="1"/>
  <c r="F42" i="2" s="1"/>
  <c r="F43" i="2" s="1"/>
  <c r="F44" i="2" s="1"/>
  <c r="F45" i="2" s="1"/>
  <c r="F46" i="2" s="1"/>
  <c r="F47" i="2" s="1"/>
  <c r="F48" i="2" s="1"/>
  <c r="F49" i="2" s="1"/>
  <c r="F50" i="2" s="1"/>
  <c r="F51" i="2" s="1"/>
  <c r="F52" i="2" s="1"/>
  <c r="F53" i="2" s="1"/>
  <c r="F54" i="2" s="1"/>
  <c r="F55" i="2" s="1"/>
  <c r="F56" i="2" s="1"/>
  <c r="F57" i="2" s="1"/>
  <c r="F58" i="2" s="1"/>
  <c r="F59" i="2" s="1"/>
  <c r="F60" i="2" s="1"/>
  <c r="F61" i="2" s="1"/>
  <c r="F62" i="2" s="1"/>
  <c r="F63" i="2" s="1"/>
  <c r="F64" i="2" s="1"/>
  <c r="F65" i="2" s="1"/>
  <c r="F66" i="2" s="1"/>
  <c r="F67" i="2" s="1"/>
  <c r="F68" i="2" s="1"/>
  <c r="F69" i="2" s="1"/>
  <c r="F70" i="2" s="1"/>
  <c r="F71" i="2" s="1"/>
  <c r="F72" i="2" s="1"/>
  <c r="F73" i="2" s="1"/>
  <c r="F74" i="2" s="1"/>
  <c r="F75" i="2" s="1"/>
  <c r="F76" i="2" s="1"/>
  <c r="F77" i="2" s="1"/>
  <c r="F78" i="2" s="1"/>
  <c r="F79" i="2" s="1"/>
  <c r="F80" i="2" s="1"/>
  <c r="F81" i="2" s="1"/>
  <c r="F82" i="2" s="1"/>
  <c r="F83" i="2" s="1"/>
  <c r="F84" i="2" s="1"/>
  <c r="F85" i="2" s="1"/>
  <c r="F86" i="2" s="1"/>
  <c r="F87" i="2" s="1"/>
  <c r="F88" i="2" s="1"/>
  <c r="F89" i="2" s="1"/>
  <c r="F90" i="2" s="1"/>
  <c r="F91" i="2" s="1"/>
  <c r="F92" i="2" s="1"/>
  <c r="F93" i="2" s="1"/>
  <c r="F94" i="2" s="1"/>
  <c r="F95" i="2" s="1"/>
  <c r="F96" i="2" s="1"/>
  <c r="F97" i="2" s="1"/>
  <c r="F98" i="2" s="1"/>
  <c r="F99" i="2" s="1"/>
  <c r="F100" i="2" s="1"/>
  <c r="F101" i="2" s="1"/>
  <c r="F102" i="2" s="1"/>
  <c r="F103" i="2" s="1"/>
  <c r="F104" i="2" s="1"/>
  <c r="F105" i="2" s="1"/>
  <c r="F106" i="2" s="1"/>
  <c r="F107" i="2" s="1"/>
  <c r="F108" i="2" s="1"/>
  <c r="F109" i="2" s="1"/>
  <c r="F110" i="2" s="1"/>
  <c r="F111" i="2" s="1"/>
  <c r="F112" i="2" s="1"/>
  <c r="F113" i="2" s="1"/>
  <c r="F114" i="2" s="1"/>
  <c r="F115" i="2" s="1"/>
  <c r="F116" i="2" s="1"/>
  <c r="F117" i="2" s="1"/>
  <c r="F118" i="2" s="1"/>
  <c r="F119" i="2" s="1"/>
  <c r="F120" i="2" s="1"/>
  <c r="F121" i="2" s="1"/>
  <c r="F122" i="2" s="1"/>
  <c r="F123" i="2" s="1"/>
  <c r="F124" i="2" s="1"/>
  <c r="F125" i="2" s="1"/>
  <c r="F126" i="2" s="1"/>
  <c r="F127" i="2" s="1"/>
  <c r="F128" i="2" s="1"/>
  <c r="F129" i="2" s="1"/>
  <c r="F130" i="2" s="1"/>
  <c r="F131" i="2" s="1"/>
  <c r="F132" i="2" s="1"/>
  <c r="F133" i="2" s="1"/>
  <c r="F134" i="2" s="1"/>
  <c r="F135" i="2" s="1"/>
  <c r="F136" i="2" s="1"/>
  <c r="F137" i="2" s="1"/>
  <c r="F138" i="2" s="1"/>
  <c r="F139" i="2" s="1"/>
  <c r="F140" i="2" s="1"/>
  <c r="F141" i="2" s="1"/>
  <c r="F142" i="2" s="1"/>
  <c r="F143" i="2" s="1"/>
  <c r="F144" i="2" s="1"/>
  <c r="F145" i="2" s="1"/>
  <c r="F146" i="2" s="1"/>
  <c r="F147" i="2" s="1"/>
  <c r="F148" i="2" s="1"/>
  <c r="F149" i="2" s="1"/>
  <c r="F150" i="2" s="1"/>
  <c r="F151" i="2" s="1"/>
  <c r="F152" i="2" s="1"/>
  <c r="F153" i="2" s="1"/>
  <c r="F154" i="2" s="1"/>
  <c r="F155" i="2" s="1"/>
  <c r="F156" i="2" s="1"/>
  <c r="F157" i="2" s="1"/>
  <c r="F158" i="2" s="1"/>
  <c r="F159" i="2" s="1"/>
  <c r="F160" i="2" s="1"/>
  <c r="F161" i="2" s="1"/>
  <c r="F162" i="2" s="1"/>
  <c r="F163" i="2" s="1"/>
  <c r="F164" i="2" s="1"/>
  <c r="F165" i="2" s="1"/>
  <c r="F166" i="2" s="1"/>
  <c r="F167" i="2" s="1"/>
  <c r="F168" i="2" s="1"/>
  <c r="F169" i="2" s="1"/>
  <c r="F170" i="2" s="1"/>
  <c r="F171" i="2" s="1"/>
  <c r="F172" i="2" s="1"/>
  <c r="F173" i="2" s="1"/>
  <c r="F174" i="2" s="1"/>
  <c r="F175" i="2" s="1"/>
  <c r="F176" i="2" s="1"/>
  <c r="F177" i="2" s="1"/>
  <c r="F178" i="2" s="1"/>
  <c r="F179" i="2" s="1"/>
  <c r="F180" i="2" s="1"/>
  <c r="F181" i="2" s="1"/>
  <c r="F182" i="2" s="1"/>
  <c r="F183" i="2" s="1"/>
  <c r="F184" i="2" s="1"/>
  <c r="F185" i="2" s="1"/>
  <c r="F186" i="2" s="1"/>
  <c r="F187" i="2" s="1"/>
  <c r="F188" i="2" s="1"/>
  <c r="F189" i="2" s="1"/>
  <c r="F190" i="2" s="1"/>
  <c r="F191" i="2" s="1"/>
  <c r="F192" i="2" s="1"/>
  <c r="F193" i="2" s="1"/>
  <c r="F194" i="2" s="1"/>
  <c r="F195" i="2" s="1"/>
  <c r="F196" i="2" s="1"/>
  <c r="F197" i="2" s="1"/>
  <c r="F198" i="2" s="1"/>
  <c r="F199" i="2" s="1"/>
  <c r="F200" i="2" s="1"/>
  <c r="F201" i="2" s="1"/>
  <c r="F202" i="2" s="1"/>
  <c r="F203" i="2" s="1"/>
  <c r="F204" i="2" s="1"/>
  <c r="F205" i="2" s="1"/>
  <c r="F206" i="2" s="1"/>
  <c r="F207" i="2" s="1"/>
  <c r="F208" i="2" s="1"/>
  <c r="F209" i="2" s="1"/>
  <c r="F210" i="2" s="1"/>
  <c r="F211" i="2" s="1"/>
  <c r="F212" i="2" s="1"/>
  <c r="F213" i="2" s="1"/>
  <c r="F214" i="2" s="1"/>
  <c r="F215" i="2" s="1"/>
  <c r="F216" i="2" s="1"/>
  <c r="F217" i="2" s="1"/>
  <c r="F218" i="2" s="1"/>
  <c r="F219" i="2" s="1"/>
  <c r="F220" i="2" s="1"/>
  <c r="F221" i="2" s="1"/>
  <c r="F222" i="2" s="1"/>
  <c r="F223" i="2" s="1"/>
  <c r="F224" i="2" s="1"/>
  <c r="F225" i="2" s="1"/>
  <c r="F226" i="2" s="1"/>
  <c r="F227" i="2" s="1"/>
  <c r="F228" i="2" s="1"/>
  <c r="F229" i="2" s="1"/>
  <c r="F230" i="2" s="1"/>
  <c r="F231" i="2" s="1"/>
  <c r="F232" i="2" s="1"/>
  <c r="F233" i="2" s="1"/>
  <c r="F234" i="2" s="1"/>
  <c r="F235" i="2" s="1"/>
  <c r="F236" i="2" s="1"/>
  <c r="F237" i="2" s="1"/>
  <c r="F238" i="2" s="1"/>
  <c r="F239" i="2" s="1"/>
  <c r="F240" i="2" s="1"/>
  <c r="F241" i="2" s="1"/>
  <c r="F242" i="2" s="1"/>
  <c r="F243" i="2" s="1"/>
  <c r="F244" i="2" s="1"/>
  <c r="F245" i="2" s="1"/>
  <c r="F246" i="2" s="1"/>
  <c r="F247" i="2" s="1"/>
  <c r="F248" i="2" s="1"/>
  <c r="F249" i="2" s="1"/>
  <c r="F250" i="2" s="1"/>
  <c r="F251" i="2" s="1"/>
  <c r="F252" i="2" s="1"/>
  <c r="F253" i="2" s="1"/>
  <c r="F254" i="2" s="1"/>
  <c r="F255" i="2" s="1"/>
  <c r="F256" i="2" s="1"/>
  <c r="F257" i="2" s="1"/>
  <c r="F258" i="2" s="1"/>
  <c r="F259" i="2" s="1"/>
  <c r="F260" i="2" s="1"/>
  <c r="F261" i="2" s="1"/>
  <c r="F262" i="2" s="1"/>
  <c r="F263" i="2" s="1"/>
  <c r="F264" i="2" s="1"/>
  <c r="F265" i="2" s="1"/>
  <c r="F266" i="2" s="1"/>
  <c r="F267" i="2" s="1"/>
  <c r="F268" i="2" s="1"/>
  <c r="F269" i="2" s="1"/>
  <c r="F270" i="2" s="1"/>
  <c r="F271" i="2" s="1"/>
  <c r="F272" i="2" s="1"/>
  <c r="F273" i="2" s="1"/>
  <c r="F274" i="2" s="1"/>
  <c r="F275" i="2" s="1"/>
  <c r="F276" i="2" s="1"/>
  <c r="F277" i="2" s="1"/>
  <c r="F278" i="2" s="1"/>
  <c r="F279" i="2" s="1"/>
  <c r="F280" i="2" s="1"/>
  <c r="F281" i="2" s="1"/>
  <c r="F282" i="2" s="1"/>
  <c r="F283" i="2" s="1"/>
  <c r="F284" i="2" s="1"/>
  <c r="F285" i="2" s="1"/>
  <c r="F286" i="2" s="1"/>
  <c r="F287" i="2" s="1"/>
  <c r="F288" i="2" s="1"/>
  <c r="F289" i="2" s="1"/>
  <c r="F290" i="2" s="1"/>
  <c r="F291" i="2" s="1"/>
  <c r="F292" i="2" s="1"/>
  <c r="F293" i="2" s="1"/>
  <c r="F294" i="2" s="1"/>
  <c r="F295" i="2" s="1"/>
  <c r="F296" i="2" s="1"/>
  <c r="F297" i="2" s="1"/>
  <c r="F298" i="2" s="1"/>
  <c r="F299" i="2" s="1"/>
  <c r="F300" i="2" s="1"/>
  <c r="F301" i="2" s="1"/>
  <c r="F302" i="2" s="1"/>
  <c r="F303" i="2" s="1"/>
  <c r="F304" i="2" s="1"/>
  <c r="F305" i="2" s="1"/>
  <c r="F306" i="2" s="1"/>
  <c r="F307" i="2" s="1"/>
  <c r="F308" i="2" s="1"/>
  <c r="F309" i="2" s="1"/>
  <c r="F310" i="2" s="1"/>
  <c r="F311" i="2" s="1"/>
  <c r="F312" i="2" s="1"/>
  <c r="F313" i="2" s="1"/>
  <c r="F314" i="2" s="1"/>
  <c r="F315" i="2" s="1"/>
  <c r="F316" i="2" s="1"/>
  <c r="F317" i="2" s="1"/>
  <c r="F318" i="2" s="1"/>
  <c r="F319" i="2" s="1"/>
  <c r="F320" i="2" s="1"/>
  <c r="F321" i="2" s="1"/>
  <c r="F322" i="2" s="1"/>
  <c r="F323" i="2" s="1"/>
  <c r="F324" i="2" s="1"/>
  <c r="F325" i="2" s="1"/>
  <c r="F326" i="2" s="1"/>
  <c r="F327" i="2" s="1"/>
  <c r="F328" i="2" s="1"/>
  <c r="F329" i="2" s="1"/>
  <c r="F330" i="2" s="1"/>
  <c r="F331" i="2" s="1"/>
  <c r="F332" i="2" s="1"/>
  <c r="F333" i="2" s="1"/>
  <c r="F334" i="2" s="1"/>
  <c r="F335" i="2" s="1"/>
  <c r="F336" i="2" s="1"/>
  <c r="F337" i="2" s="1"/>
  <c r="F338" i="2" s="1"/>
  <c r="F339" i="2" s="1"/>
  <c r="F340" i="2" s="1"/>
  <c r="F341" i="2" s="1"/>
  <c r="F342" i="2" s="1"/>
  <c r="F343" i="2" s="1"/>
  <c r="F344" i="2" s="1"/>
  <c r="F345" i="2" s="1"/>
  <c r="F346" i="2" s="1"/>
  <c r="F347" i="2" s="1"/>
  <c r="F348" i="2" s="1"/>
  <c r="F349" i="2" s="1"/>
  <c r="F350" i="2" s="1"/>
  <c r="F351" i="2" s="1"/>
  <c r="F352" i="2" s="1"/>
  <c r="F353" i="2" s="1"/>
  <c r="F354" i="2" s="1"/>
  <c r="F355" i="2" s="1"/>
  <c r="F356" i="2" s="1"/>
  <c r="F357" i="2" s="1"/>
  <c r="F358" i="2" s="1"/>
  <c r="F359" i="2" s="1"/>
  <c r="F360" i="2" s="1"/>
  <c r="F361" i="2" s="1"/>
  <c r="F362" i="2" s="1"/>
  <c r="F363" i="2" s="1"/>
  <c r="F364" i="2" s="1"/>
  <c r="F365" i="2" s="1"/>
  <c r="F366" i="2" s="1"/>
  <c r="F367" i="2" s="1"/>
  <c r="F368" i="2" s="1"/>
  <c r="F369" i="2" s="1"/>
  <c r="F370" i="2" s="1"/>
  <c r="F371" i="2" s="1"/>
  <c r="F372" i="2" s="1"/>
  <c r="F373" i="2" s="1"/>
  <c r="F374" i="2" s="1"/>
  <c r="F375" i="2" s="1"/>
  <c r="F376" i="2" s="1"/>
  <c r="F377" i="2" s="1"/>
  <c r="F378" i="2" s="1"/>
  <c r="F379" i="2" s="1"/>
  <c r="D5" i="2" s="1"/>
  <c r="D22" i="2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D35" i="2" s="1"/>
  <c r="D36" i="2" s="1"/>
  <c r="D37" i="2" s="1"/>
  <c r="D38" i="2" s="1"/>
  <c r="D39" i="2" s="1"/>
  <c r="D40" i="2" s="1"/>
  <c r="D41" i="2" s="1"/>
  <c r="D42" i="2" s="1"/>
  <c r="D43" i="2" s="1"/>
  <c r="D44" i="2" s="1"/>
  <c r="D45" i="2" s="1"/>
  <c r="D46" i="2" s="1"/>
  <c r="D47" i="2" s="1"/>
  <c r="D48" i="2" s="1"/>
  <c r="D49" i="2" s="1"/>
  <c r="D50" i="2" s="1"/>
  <c r="D51" i="2" s="1"/>
  <c r="D52" i="2" s="1"/>
  <c r="D53" i="2" s="1"/>
  <c r="D54" i="2" s="1"/>
  <c r="D55" i="2" s="1"/>
  <c r="D56" i="2" s="1"/>
  <c r="D57" i="2" s="1"/>
  <c r="D58" i="2" s="1"/>
  <c r="D59" i="2" s="1"/>
  <c r="D60" i="2" s="1"/>
  <c r="D61" i="2" s="1"/>
  <c r="D62" i="2" s="1"/>
  <c r="D63" i="2" s="1"/>
  <c r="D64" i="2" s="1"/>
  <c r="D65" i="2" s="1"/>
  <c r="D66" i="2" s="1"/>
  <c r="D67" i="2" s="1"/>
  <c r="D68" i="2" s="1"/>
  <c r="D69" i="2" s="1"/>
  <c r="D70" i="2" s="1"/>
  <c r="D71" i="2" s="1"/>
  <c r="D72" i="2" s="1"/>
  <c r="D73" i="2" s="1"/>
  <c r="D74" i="2" s="1"/>
  <c r="D75" i="2" s="1"/>
  <c r="D76" i="2" s="1"/>
  <c r="D77" i="2" s="1"/>
  <c r="D78" i="2" s="1"/>
  <c r="D79" i="2" s="1"/>
  <c r="D80" i="2" s="1"/>
  <c r="D81" i="2" s="1"/>
  <c r="D82" i="2" s="1"/>
  <c r="D83" i="2" s="1"/>
  <c r="D84" i="2" s="1"/>
  <c r="D85" i="2" s="1"/>
  <c r="D86" i="2" s="1"/>
  <c r="D87" i="2" s="1"/>
  <c r="D88" i="2" s="1"/>
  <c r="D89" i="2" s="1"/>
  <c r="D90" i="2" s="1"/>
  <c r="D91" i="2" s="1"/>
  <c r="D92" i="2" s="1"/>
  <c r="D93" i="2" s="1"/>
  <c r="D94" i="2" s="1"/>
  <c r="D95" i="2" s="1"/>
  <c r="D96" i="2" s="1"/>
  <c r="D97" i="2" s="1"/>
  <c r="D98" i="2" s="1"/>
  <c r="D99" i="2" s="1"/>
  <c r="D100" i="2" s="1"/>
  <c r="D101" i="2" s="1"/>
  <c r="D102" i="2" s="1"/>
  <c r="D103" i="2" s="1"/>
  <c r="D104" i="2" s="1"/>
  <c r="D105" i="2" s="1"/>
  <c r="D106" i="2" s="1"/>
  <c r="D107" i="2" s="1"/>
  <c r="D108" i="2" s="1"/>
  <c r="D109" i="2" s="1"/>
  <c r="D110" i="2" s="1"/>
  <c r="D111" i="2" s="1"/>
  <c r="D112" i="2" s="1"/>
  <c r="D113" i="2" s="1"/>
  <c r="D114" i="2" s="1"/>
  <c r="D115" i="2" s="1"/>
  <c r="D116" i="2" s="1"/>
  <c r="D117" i="2" s="1"/>
  <c r="D118" i="2" s="1"/>
  <c r="D119" i="2" s="1"/>
  <c r="D120" i="2" s="1"/>
  <c r="D121" i="2" s="1"/>
  <c r="D122" i="2" s="1"/>
  <c r="D123" i="2" s="1"/>
  <c r="D124" i="2" s="1"/>
  <c r="D125" i="2" s="1"/>
  <c r="D126" i="2" s="1"/>
  <c r="D127" i="2" s="1"/>
  <c r="D128" i="2" s="1"/>
  <c r="D129" i="2" s="1"/>
  <c r="D130" i="2" s="1"/>
  <c r="D131" i="2" s="1"/>
  <c r="D132" i="2" s="1"/>
  <c r="D133" i="2" s="1"/>
  <c r="D134" i="2" s="1"/>
  <c r="D135" i="2" s="1"/>
  <c r="D136" i="2" s="1"/>
  <c r="D137" i="2" s="1"/>
  <c r="D138" i="2" s="1"/>
  <c r="D139" i="2" s="1"/>
  <c r="D140" i="2" s="1"/>
  <c r="D141" i="2" s="1"/>
  <c r="D142" i="2" s="1"/>
  <c r="D143" i="2" s="1"/>
  <c r="D144" i="2" s="1"/>
  <c r="D145" i="2" s="1"/>
  <c r="D146" i="2" s="1"/>
  <c r="D147" i="2" s="1"/>
  <c r="D148" i="2" s="1"/>
  <c r="D149" i="2" s="1"/>
  <c r="D150" i="2" s="1"/>
  <c r="D151" i="2" s="1"/>
  <c r="D152" i="2" s="1"/>
  <c r="D153" i="2" s="1"/>
  <c r="D154" i="2" s="1"/>
  <c r="D155" i="2" s="1"/>
  <c r="D156" i="2" s="1"/>
  <c r="D157" i="2" s="1"/>
  <c r="D158" i="2" s="1"/>
  <c r="D159" i="2" s="1"/>
  <c r="D160" i="2" s="1"/>
  <c r="D161" i="2" s="1"/>
  <c r="D162" i="2" s="1"/>
  <c r="D163" i="2" s="1"/>
  <c r="D164" i="2" s="1"/>
  <c r="D165" i="2" s="1"/>
  <c r="D166" i="2" s="1"/>
  <c r="D167" i="2" s="1"/>
  <c r="D168" i="2" s="1"/>
  <c r="D169" i="2" s="1"/>
  <c r="D170" i="2" s="1"/>
  <c r="D171" i="2" s="1"/>
  <c r="D172" i="2" s="1"/>
  <c r="D173" i="2" s="1"/>
  <c r="D174" i="2" s="1"/>
  <c r="D175" i="2" s="1"/>
  <c r="D176" i="2" s="1"/>
  <c r="D177" i="2" s="1"/>
  <c r="D178" i="2" s="1"/>
  <c r="D179" i="2" s="1"/>
  <c r="D180" i="2" s="1"/>
  <c r="D181" i="2" s="1"/>
  <c r="D182" i="2" s="1"/>
  <c r="D183" i="2" s="1"/>
  <c r="D184" i="2" s="1"/>
  <c r="D185" i="2" s="1"/>
  <c r="D186" i="2" s="1"/>
  <c r="D187" i="2" s="1"/>
  <c r="D188" i="2" s="1"/>
  <c r="D189" i="2" s="1"/>
  <c r="D190" i="2" s="1"/>
  <c r="D191" i="2" s="1"/>
  <c r="D192" i="2" s="1"/>
  <c r="D193" i="2" s="1"/>
  <c r="D194" i="2" s="1"/>
  <c r="D195" i="2" s="1"/>
  <c r="D196" i="2" s="1"/>
  <c r="D197" i="2" s="1"/>
  <c r="D198" i="2" s="1"/>
  <c r="D199" i="2" s="1"/>
  <c r="D200" i="2" s="1"/>
  <c r="D201" i="2" s="1"/>
  <c r="D202" i="2" s="1"/>
  <c r="D203" i="2" s="1"/>
  <c r="D204" i="2" s="1"/>
  <c r="D205" i="2" s="1"/>
  <c r="D206" i="2" s="1"/>
  <c r="D207" i="2" s="1"/>
  <c r="D208" i="2" s="1"/>
  <c r="D209" i="2" s="1"/>
  <c r="D210" i="2" s="1"/>
  <c r="D211" i="2" s="1"/>
  <c r="D212" i="2" s="1"/>
  <c r="D213" i="2" s="1"/>
  <c r="D214" i="2" s="1"/>
  <c r="D215" i="2" s="1"/>
  <c r="D216" i="2" s="1"/>
  <c r="D217" i="2" s="1"/>
  <c r="D218" i="2" s="1"/>
  <c r="D219" i="2" s="1"/>
  <c r="D220" i="2" s="1"/>
  <c r="D221" i="2" s="1"/>
  <c r="D222" i="2" s="1"/>
  <c r="D223" i="2" s="1"/>
  <c r="D224" i="2" s="1"/>
  <c r="D225" i="2" s="1"/>
  <c r="D226" i="2" s="1"/>
  <c r="D227" i="2" s="1"/>
  <c r="D228" i="2" s="1"/>
  <c r="D229" i="2" s="1"/>
  <c r="D230" i="2" s="1"/>
  <c r="D231" i="2" s="1"/>
  <c r="D232" i="2" s="1"/>
  <c r="D233" i="2" s="1"/>
  <c r="D234" i="2" s="1"/>
  <c r="D235" i="2" s="1"/>
  <c r="D236" i="2" s="1"/>
  <c r="D237" i="2" s="1"/>
  <c r="D238" i="2" s="1"/>
  <c r="D239" i="2" s="1"/>
  <c r="D240" i="2" s="1"/>
  <c r="D241" i="2" s="1"/>
  <c r="D242" i="2" s="1"/>
  <c r="D243" i="2" s="1"/>
  <c r="D244" i="2" s="1"/>
  <c r="D245" i="2" s="1"/>
  <c r="D246" i="2" s="1"/>
  <c r="D247" i="2" s="1"/>
  <c r="D248" i="2" s="1"/>
  <c r="D249" i="2" s="1"/>
  <c r="D250" i="2" s="1"/>
  <c r="D251" i="2" s="1"/>
  <c r="D252" i="2" s="1"/>
  <c r="D253" i="2" s="1"/>
  <c r="D254" i="2" s="1"/>
  <c r="D255" i="2" s="1"/>
  <c r="D256" i="2" s="1"/>
  <c r="D257" i="2" s="1"/>
  <c r="D258" i="2" s="1"/>
  <c r="D259" i="2" s="1"/>
  <c r="D260" i="2" s="1"/>
  <c r="D261" i="2" s="1"/>
  <c r="D262" i="2" s="1"/>
  <c r="D263" i="2" s="1"/>
  <c r="D264" i="2" s="1"/>
  <c r="D265" i="2" s="1"/>
  <c r="D266" i="2" s="1"/>
  <c r="D267" i="2" s="1"/>
  <c r="D268" i="2" s="1"/>
  <c r="D269" i="2" s="1"/>
  <c r="D270" i="2" s="1"/>
  <c r="D271" i="2" s="1"/>
  <c r="D272" i="2" s="1"/>
  <c r="D273" i="2" s="1"/>
  <c r="D274" i="2" s="1"/>
  <c r="D275" i="2" s="1"/>
  <c r="D276" i="2" s="1"/>
  <c r="D277" i="2" s="1"/>
  <c r="D278" i="2" s="1"/>
  <c r="D279" i="2" s="1"/>
  <c r="D280" i="2" s="1"/>
  <c r="D281" i="2" s="1"/>
  <c r="D282" i="2" s="1"/>
  <c r="D283" i="2" s="1"/>
  <c r="D284" i="2" s="1"/>
  <c r="D285" i="2" s="1"/>
  <c r="D286" i="2" s="1"/>
  <c r="D287" i="2" s="1"/>
  <c r="D288" i="2" s="1"/>
  <c r="D289" i="2" s="1"/>
  <c r="D290" i="2" s="1"/>
  <c r="D291" i="2" s="1"/>
  <c r="D292" i="2" s="1"/>
  <c r="D293" i="2" s="1"/>
  <c r="D294" i="2" s="1"/>
  <c r="D295" i="2" s="1"/>
  <c r="D296" i="2" s="1"/>
  <c r="D297" i="2" s="1"/>
  <c r="D298" i="2" s="1"/>
  <c r="D299" i="2" s="1"/>
  <c r="D300" i="2" s="1"/>
  <c r="D301" i="2" s="1"/>
  <c r="D302" i="2" s="1"/>
  <c r="D303" i="2" s="1"/>
  <c r="D304" i="2" s="1"/>
  <c r="D305" i="2" s="1"/>
  <c r="D306" i="2" s="1"/>
  <c r="D307" i="2" s="1"/>
  <c r="D308" i="2" s="1"/>
  <c r="D309" i="2" s="1"/>
  <c r="D310" i="2" s="1"/>
  <c r="D311" i="2" s="1"/>
  <c r="D312" i="2" s="1"/>
  <c r="D313" i="2" s="1"/>
  <c r="D314" i="2" s="1"/>
  <c r="D315" i="2" s="1"/>
  <c r="D316" i="2" s="1"/>
  <c r="D317" i="2" s="1"/>
  <c r="D318" i="2" s="1"/>
  <c r="D319" i="2" s="1"/>
  <c r="D320" i="2" s="1"/>
  <c r="D321" i="2" s="1"/>
  <c r="D322" i="2" s="1"/>
  <c r="D323" i="2" s="1"/>
  <c r="D324" i="2" s="1"/>
  <c r="D325" i="2" s="1"/>
  <c r="D326" i="2" s="1"/>
  <c r="D327" i="2" s="1"/>
  <c r="D328" i="2" s="1"/>
  <c r="D329" i="2" s="1"/>
  <c r="D330" i="2" s="1"/>
  <c r="D331" i="2" s="1"/>
  <c r="D332" i="2" s="1"/>
  <c r="D333" i="2" s="1"/>
  <c r="D334" i="2" s="1"/>
  <c r="D335" i="2" s="1"/>
  <c r="D336" i="2" s="1"/>
  <c r="D337" i="2" s="1"/>
  <c r="D338" i="2" s="1"/>
  <c r="D339" i="2" s="1"/>
  <c r="D340" i="2" s="1"/>
  <c r="D341" i="2" s="1"/>
  <c r="D342" i="2" s="1"/>
  <c r="D343" i="2" s="1"/>
  <c r="D344" i="2" s="1"/>
  <c r="D345" i="2" s="1"/>
  <c r="D346" i="2" s="1"/>
  <c r="D347" i="2" s="1"/>
  <c r="D348" i="2" s="1"/>
  <c r="D349" i="2" s="1"/>
  <c r="D350" i="2" s="1"/>
  <c r="D351" i="2" s="1"/>
  <c r="D352" i="2" s="1"/>
  <c r="D353" i="2" s="1"/>
  <c r="D354" i="2" s="1"/>
  <c r="D355" i="2" s="1"/>
  <c r="D356" i="2" s="1"/>
  <c r="D357" i="2" s="1"/>
  <c r="D358" i="2" s="1"/>
  <c r="D359" i="2" s="1"/>
  <c r="D360" i="2" s="1"/>
  <c r="D361" i="2" s="1"/>
  <c r="D362" i="2" s="1"/>
  <c r="D363" i="2" s="1"/>
  <c r="D364" i="2" s="1"/>
  <c r="D365" i="2" s="1"/>
  <c r="D366" i="2" s="1"/>
  <c r="D367" i="2" s="1"/>
  <c r="D368" i="2" s="1"/>
  <c r="D369" i="2" s="1"/>
  <c r="D370" i="2" s="1"/>
  <c r="D371" i="2" s="1"/>
  <c r="D372" i="2" s="1"/>
  <c r="D373" i="2" s="1"/>
  <c r="D374" i="2" s="1"/>
  <c r="D375" i="2" s="1"/>
  <c r="D376" i="2" s="1"/>
  <c r="D377" i="2" s="1"/>
  <c r="D378" i="2" s="1"/>
  <c r="D379" i="2" s="1"/>
  <c r="D3" i="2" s="1"/>
  <c r="C381" i="2"/>
  <c r="F380" i="2"/>
  <c r="E380" i="2"/>
  <c r="D380" i="2"/>
  <c r="G380" i="2"/>
  <c r="H380" i="2"/>
  <c r="H22" i="2"/>
  <c r="H23" i="2" s="1"/>
  <c r="H24" i="2" s="1"/>
  <c r="H25" i="2" s="1"/>
  <c r="H26" i="2" s="1"/>
  <c r="H27" i="2" s="1"/>
  <c r="H28" i="2" s="1"/>
  <c r="H29" i="2" s="1"/>
  <c r="H30" i="2" s="1"/>
  <c r="H31" i="2" s="1"/>
  <c r="H32" i="2" s="1"/>
  <c r="H33" i="2" s="1"/>
  <c r="H34" i="2" s="1"/>
  <c r="H35" i="2" s="1"/>
  <c r="H36" i="2" s="1"/>
  <c r="H37" i="2" s="1"/>
  <c r="H38" i="2" s="1"/>
  <c r="H39" i="2" s="1"/>
  <c r="H40" i="2" s="1"/>
  <c r="H41" i="2" s="1"/>
  <c r="H42" i="2" s="1"/>
  <c r="H43" i="2" s="1"/>
  <c r="H44" i="2" s="1"/>
  <c r="H45" i="2" s="1"/>
  <c r="H46" i="2" s="1"/>
  <c r="H47" i="2" s="1"/>
  <c r="H48" i="2" s="1"/>
  <c r="H49" i="2" s="1"/>
  <c r="H50" i="2" s="1"/>
  <c r="H51" i="2" s="1"/>
  <c r="H52" i="2" s="1"/>
  <c r="H53" i="2" s="1"/>
  <c r="H54" i="2" s="1"/>
  <c r="H55" i="2" s="1"/>
  <c r="H56" i="2" s="1"/>
  <c r="H57" i="2" s="1"/>
  <c r="H58" i="2" s="1"/>
  <c r="H59" i="2" s="1"/>
  <c r="H60" i="2" s="1"/>
  <c r="H61" i="2" s="1"/>
  <c r="H62" i="2" s="1"/>
  <c r="H63" i="2" s="1"/>
  <c r="H64" i="2" s="1"/>
  <c r="H65" i="2" s="1"/>
  <c r="H66" i="2" s="1"/>
  <c r="H67" i="2" s="1"/>
  <c r="H68" i="2" s="1"/>
  <c r="H69" i="2" s="1"/>
  <c r="H70" i="2" s="1"/>
  <c r="H71" i="2" s="1"/>
  <c r="H72" i="2" s="1"/>
  <c r="H73" i="2" s="1"/>
  <c r="H74" i="2" s="1"/>
  <c r="H75" i="2" s="1"/>
  <c r="H76" i="2" s="1"/>
  <c r="H77" i="2" s="1"/>
  <c r="H78" i="2" s="1"/>
  <c r="H79" i="2" s="1"/>
  <c r="H80" i="2" s="1"/>
  <c r="H81" i="2" s="1"/>
  <c r="H82" i="2" s="1"/>
  <c r="H83" i="2" s="1"/>
  <c r="H84" i="2" s="1"/>
  <c r="H85" i="2" s="1"/>
  <c r="H86" i="2" s="1"/>
  <c r="H87" i="2" s="1"/>
  <c r="H88" i="2" s="1"/>
  <c r="H89" i="2" s="1"/>
  <c r="H90" i="2" s="1"/>
  <c r="H91" i="2" s="1"/>
  <c r="H92" i="2" s="1"/>
  <c r="H93" i="2" s="1"/>
  <c r="H94" i="2" s="1"/>
  <c r="H95" i="2" s="1"/>
  <c r="H96" i="2" s="1"/>
  <c r="H97" i="2" s="1"/>
  <c r="H98" i="2" s="1"/>
  <c r="H99" i="2" s="1"/>
  <c r="H100" i="2" s="1"/>
  <c r="H101" i="2" s="1"/>
  <c r="H102" i="2" s="1"/>
  <c r="H103" i="2" s="1"/>
  <c r="H104" i="2" s="1"/>
  <c r="H105" i="2" s="1"/>
  <c r="H106" i="2" s="1"/>
  <c r="H107" i="2" s="1"/>
  <c r="H108" i="2" s="1"/>
  <c r="H109" i="2" s="1"/>
  <c r="H110" i="2" s="1"/>
  <c r="H111" i="2" s="1"/>
  <c r="H112" i="2" s="1"/>
  <c r="H113" i="2" s="1"/>
  <c r="H114" i="2" s="1"/>
  <c r="H115" i="2" s="1"/>
  <c r="H116" i="2" s="1"/>
  <c r="H117" i="2" s="1"/>
  <c r="H118" i="2" s="1"/>
  <c r="H119" i="2" s="1"/>
  <c r="H120" i="2" s="1"/>
  <c r="H121" i="2" s="1"/>
  <c r="H122" i="2" s="1"/>
  <c r="H123" i="2" s="1"/>
  <c r="H124" i="2" s="1"/>
  <c r="H125" i="2" s="1"/>
  <c r="H126" i="2" s="1"/>
  <c r="H127" i="2" s="1"/>
  <c r="H128" i="2" s="1"/>
  <c r="H129" i="2" s="1"/>
  <c r="H130" i="2" s="1"/>
  <c r="H131" i="2" s="1"/>
  <c r="H132" i="2" s="1"/>
  <c r="H133" i="2" s="1"/>
  <c r="H134" i="2" s="1"/>
  <c r="H135" i="2" s="1"/>
  <c r="H136" i="2" s="1"/>
  <c r="H137" i="2" s="1"/>
  <c r="H138" i="2" s="1"/>
  <c r="H139" i="2" s="1"/>
  <c r="H140" i="2" s="1"/>
  <c r="H141" i="2" s="1"/>
  <c r="H142" i="2" s="1"/>
  <c r="H143" i="2" s="1"/>
  <c r="H144" i="2" s="1"/>
  <c r="H145" i="2" s="1"/>
  <c r="H146" i="2" s="1"/>
  <c r="H147" i="2" s="1"/>
  <c r="H148" i="2" s="1"/>
  <c r="H149" i="2" s="1"/>
  <c r="H150" i="2" s="1"/>
  <c r="H151" i="2" s="1"/>
  <c r="H152" i="2" s="1"/>
  <c r="H153" i="2" s="1"/>
  <c r="H154" i="2" s="1"/>
  <c r="H155" i="2" s="1"/>
  <c r="H156" i="2" s="1"/>
  <c r="H157" i="2" s="1"/>
  <c r="H158" i="2" s="1"/>
  <c r="H159" i="2" s="1"/>
  <c r="H160" i="2" s="1"/>
  <c r="H161" i="2" s="1"/>
  <c r="H162" i="2" s="1"/>
  <c r="H163" i="2" s="1"/>
  <c r="H164" i="2" s="1"/>
  <c r="H165" i="2" s="1"/>
  <c r="H166" i="2" s="1"/>
  <c r="H167" i="2" s="1"/>
  <c r="H168" i="2" s="1"/>
  <c r="H169" i="2" s="1"/>
  <c r="H170" i="2" s="1"/>
  <c r="H171" i="2" s="1"/>
  <c r="H172" i="2" s="1"/>
  <c r="H173" i="2" s="1"/>
  <c r="H174" i="2" s="1"/>
  <c r="H175" i="2" s="1"/>
  <c r="H176" i="2" s="1"/>
  <c r="H177" i="2" s="1"/>
  <c r="H178" i="2" s="1"/>
  <c r="H179" i="2" s="1"/>
  <c r="H180" i="2" s="1"/>
  <c r="H181" i="2" s="1"/>
  <c r="H182" i="2" s="1"/>
  <c r="H183" i="2" s="1"/>
  <c r="H184" i="2" s="1"/>
  <c r="H185" i="2" s="1"/>
  <c r="H186" i="2" s="1"/>
  <c r="H187" i="2" s="1"/>
  <c r="H188" i="2" s="1"/>
  <c r="H189" i="2" s="1"/>
  <c r="H190" i="2" s="1"/>
  <c r="H191" i="2" s="1"/>
  <c r="H192" i="2" s="1"/>
  <c r="H193" i="2" s="1"/>
  <c r="H194" i="2" s="1"/>
  <c r="H195" i="2" s="1"/>
  <c r="H196" i="2" s="1"/>
  <c r="H197" i="2" s="1"/>
  <c r="H198" i="2" s="1"/>
  <c r="H199" i="2" s="1"/>
  <c r="H200" i="2" s="1"/>
  <c r="H201" i="2" s="1"/>
  <c r="H202" i="2" s="1"/>
  <c r="H203" i="2" s="1"/>
  <c r="H204" i="2" s="1"/>
  <c r="H205" i="2" s="1"/>
  <c r="H206" i="2" s="1"/>
  <c r="H207" i="2" s="1"/>
  <c r="H208" i="2" s="1"/>
  <c r="H209" i="2" s="1"/>
  <c r="H210" i="2" s="1"/>
  <c r="H211" i="2" s="1"/>
  <c r="H212" i="2" s="1"/>
  <c r="H213" i="2" s="1"/>
  <c r="H214" i="2" s="1"/>
  <c r="H215" i="2" s="1"/>
  <c r="H216" i="2" s="1"/>
  <c r="H217" i="2" s="1"/>
  <c r="H218" i="2" s="1"/>
  <c r="H219" i="2" s="1"/>
  <c r="H220" i="2" s="1"/>
  <c r="H221" i="2" s="1"/>
  <c r="H222" i="2" s="1"/>
  <c r="H223" i="2" s="1"/>
  <c r="H224" i="2" s="1"/>
  <c r="H225" i="2" s="1"/>
  <c r="H226" i="2" s="1"/>
  <c r="H227" i="2" s="1"/>
  <c r="H228" i="2" s="1"/>
  <c r="H229" i="2" s="1"/>
  <c r="H230" i="2" s="1"/>
  <c r="H231" i="2" s="1"/>
  <c r="H232" i="2" s="1"/>
  <c r="H233" i="2" s="1"/>
  <c r="H234" i="2" s="1"/>
  <c r="H235" i="2" s="1"/>
  <c r="H236" i="2" s="1"/>
  <c r="H237" i="2" s="1"/>
  <c r="H238" i="2" s="1"/>
  <c r="H239" i="2" s="1"/>
  <c r="H240" i="2" s="1"/>
  <c r="H241" i="2" s="1"/>
  <c r="H242" i="2" s="1"/>
  <c r="H243" i="2" s="1"/>
  <c r="H244" i="2" s="1"/>
  <c r="H245" i="2" s="1"/>
  <c r="H246" i="2" s="1"/>
  <c r="H247" i="2" s="1"/>
  <c r="H248" i="2" s="1"/>
  <c r="H249" i="2" s="1"/>
  <c r="H250" i="2" s="1"/>
  <c r="H251" i="2" s="1"/>
  <c r="H252" i="2" s="1"/>
  <c r="H253" i="2" s="1"/>
  <c r="H254" i="2" s="1"/>
  <c r="H255" i="2" s="1"/>
  <c r="H256" i="2" s="1"/>
  <c r="H257" i="2" s="1"/>
  <c r="H258" i="2" s="1"/>
  <c r="H259" i="2" s="1"/>
  <c r="H260" i="2" s="1"/>
  <c r="H261" i="2" s="1"/>
  <c r="H262" i="2" s="1"/>
  <c r="H263" i="2" s="1"/>
  <c r="H264" i="2" s="1"/>
  <c r="H265" i="2" s="1"/>
  <c r="H266" i="2" s="1"/>
  <c r="H267" i="2" s="1"/>
  <c r="H268" i="2" s="1"/>
  <c r="H269" i="2" s="1"/>
  <c r="H270" i="2" s="1"/>
  <c r="H271" i="2" s="1"/>
  <c r="H272" i="2" s="1"/>
  <c r="H273" i="2" s="1"/>
  <c r="H274" i="2" s="1"/>
  <c r="H275" i="2" s="1"/>
  <c r="H276" i="2" s="1"/>
  <c r="H277" i="2" s="1"/>
  <c r="H278" i="2" s="1"/>
  <c r="H279" i="2" s="1"/>
  <c r="H280" i="2" s="1"/>
  <c r="H281" i="2" s="1"/>
  <c r="H282" i="2" s="1"/>
  <c r="H283" i="2" s="1"/>
  <c r="H284" i="2" s="1"/>
  <c r="H285" i="2" s="1"/>
  <c r="H286" i="2" s="1"/>
  <c r="H287" i="2" s="1"/>
  <c r="H288" i="2" s="1"/>
  <c r="H289" i="2" s="1"/>
  <c r="H290" i="2" s="1"/>
  <c r="H291" i="2" s="1"/>
  <c r="H292" i="2" s="1"/>
  <c r="H293" i="2" s="1"/>
  <c r="H294" i="2" s="1"/>
  <c r="H295" i="2" s="1"/>
  <c r="H296" i="2" s="1"/>
  <c r="H297" i="2" s="1"/>
  <c r="H298" i="2" s="1"/>
  <c r="H299" i="2" s="1"/>
  <c r="H300" i="2" s="1"/>
  <c r="H301" i="2" s="1"/>
  <c r="H302" i="2" s="1"/>
  <c r="H303" i="2" s="1"/>
  <c r="H304" i="2" s="1"/>
  <c r="H305" i="2" s="1"/>
  <c r="H306" i="2" s="1"/>
  <c r="H307" i="2" s="1"/>
  <c r="H308" i="2" s="1"/>
  <c r="H309" i="2" s="1"/>
  <c r="H310" i="2" s="1"/>
  <c r="H311" i="2" s="1"/>
  <c r="H312" i="2" s="1"/>
  <c r="H313" i="2" s="1"/>
  <c r="H314" i="2" s="1"/>
  <c r="H315" i="2" s="1"/>
  <c r="H316" i="2" s="1"/>
  <c r="H317" i="2" s="1"/>
  <c r="H318" i="2" s="1"/>
  <c r="H319" i="2" s="1"/>
  <c r="H320" i="2" s="1"/>
  <c r="H321" i="2" s="1"/>
  <c r="H322" i="2" s="1"/>
  <c r="H323" i="2" s="1"/>
  <c r="H324" i="2" s="1"/>
  <c r="H325" i="2" s="1"/>
  <c r="H326" i="2" s="1"/>
  <c r="H327" i="2" s="1"/>
  <c r="H328" i="2" s="1"/>
  <c r="H329" i="2" s="1"/>
  <c r="H330" i="2" s="1"/>
  <c r="H331" i="2" s="1"/>
  <c r="H332" i="2" s="1"/>
  <c r="H333" i="2" s="1"/>
  <c r="H334" i="2" s="1"/>
  <c r="H335" i="2" s="1"/>
  <c r="H336" i="2" s="1"/>
  <c r="H337" i="2" s="1"/>
  <c r="H338" i="2" s="1"/>
  <c r="H339" i="2" s="1"/>
  <c r="H340" i="2" s="1"/>
  <c r="H341" i="2" s="1"/>
  <c r="H342" i="2" s="1"/>
  <c r="H343" i="2" s="1"/>
  <c r="H344" i="2" s="1"/>
  <c r="H345" i="2" s="1"/>
  <c r="H346" i="2" s="1"/>
  <c r="H347" i="2" s="1"/>
  <c r="H348" i="2" s="1"/>
  <c r="H349" i="2" s="1"/>
  <c r="H350" i="2" s="1"/>
  <c r="H351" i="2" s="1"/>
  <c r="H352" i="2" s="1"/>
  <c r="H353" i="2" s="1"/>
  <c r="H354" i="2" s="1"/>
  <c r="H355" i="2" s="1"/>
  <c r="H356" i="2" s="1"/>
  <c r="H357" i="2" s="1"/>
  <c r="H358" i="2" s="1"/>
  <c r="H359" i="2" s="1"/>
  <c r="H360" i="2" s="1"/>
  <c r="H361" i="2" s="1"/>
  <c r="H362" i="2" s="1"/>
  <c r="H363" i="2" s="1"/>
  <c r="H364" i="2" s="1"/>
  <c r="H365" i="2" s="1"/>
  <c r="H366" i="2" s="1"/>
  <c r="H367" i="2" s="1"/>
  <c r="H368" i="2" s="1"/>
  <c r="H369" i="2" s="1"/>
  <c r="H370" i="2" s="1"/>
  <c r="H371" i="2" s="1"/>
  <c r="H372" i="2" s="1"/>
  <c r="H373" i="2" s="1"/>
  <c r="H374" i="2" s="1"/>
  <c r="H375" i="2" s="1"/>
  <c r="H376" i="2" s="1"/>
  <c r="H377" i="2" s="1"/>
  <c r="H378" i="2" s="1"/>
  <c r="H379" i="2" s="1"/>
  <c r="D7" i="2" s="1"/>
  <c r="C382" i="2" l="1"/>
  <c r="F381" i="2"/>
  <c r="E381" i="2"/>
  <c r="G381" i="2"/>
  <c r="D381" i="2"/>
  <c r="H381" i="2"/>
  <c r="C383" i="2" l="1"/>
  <c r="F382" i="2"/>
  <c r="G382" i="2"/>
  <c r="E382" i="2"/>
  <c r="D382" i="2"/>
  <c r="H382" i="2"/>
  <c r="C384" i="2" l="1"/>
  <c r="F383" i="2"/>
  <c r="E383" i="2"/>
  <c r="D383" i="2"/>
  <c r="G383" i="2"/>
  <c r="H383" i="2"/>
  <c r="C385" i="2" l="1"/>
  <c r="F384" i="2"/>
  <c r="E384" i="2"/>
  <c r="G384" i="2"/>
  <c r="D384" i="2"/>
  <c r="H384" i="2"/>
  <c r="C386" i="2" l="1"/>
  <c r="F385" i="2"/>
  <c r="G385" i="2"/>
  <c r="E385" i="2"/>
  <c r="D385" i="2"/>
  <c r="H385" i="2"/>
  <c r="C387" i="2" l="1"/>
  <c r="F386" i="2"/>
  <c r="E386" i="2"/>
  <c r="D386" i="2"/>
  <c r="G386" i="2"/>
  <c r="H386" i="2"/>
  <c r="C388" i="2" l="1"/>
  <c r="F387" i="2"/>
  <c r="E387" i="2"/>
  <c r="G387" i="2"/>
  <c r="D387" i="2"/>
  <c r="H387" i="2"/>
  <c r="C389" i="2" l="1"/>
  <c r="F388" i="2"/>
  <c r="G388" i="2"/>
  <c r="E388" i="2"/>
  <c r="D388" i="2"/>
  <c r="H388" i="2"/>
  <c r="C390" i="2" l="1"/>
  <c r="F389" i="2"/>
  <c r="E389" i="2"/>
  <c r="D389" i="2"/>
  <c r="G389" i="2"/>
  <c r="H389" i="2"/>
  <c r="C391" i="2" l="1"/>
  <c r="F390" i="2"/>
  <c r="E390" i="2"/>
  <c r="G390" i="2"/>
  <c r="D390" i="2"/>
  <c r="H390" i="2"/>
  <c r="C392" i="2" l="1"/>
  <c r="F391" i="2"/>
  <c r="E391" i="2"/>
  <c r="D391" i="2"/>
  <c r="G391" i="2"/>
  <c r="H391" i="2"/>
  <c r="C393" i="2" l="1"/>
  <c r="F392" i="2"/>
  <c r="E392" i="2"/>
  <c r="G392" i="2"/>
  <c r="D392" i="2"/>
  <c r="H392" i="2"/>
  <c r="C394" i="2" l="1"/>
  <c r="F393" i="2"/>
  <c r="G393" i="2"/>
  <c r="E393" i="2"/>
  <c r="D393" i="2"/>
  <c r="H393" i="2"/>
  <c r="C395" i="2" l="1"/>
  <c r="F394" i="2"/>
  <c r="E394" i="2"/>
  <c r="D394" i="2"/>
  <c r="G394" i="2"/>
  <c r="H394" i="2"/>
  <c r="C396" i="2" l="1"/>
  <c r="F395" i="2"/>
  <c r="E395" i="2"/>
  <c r="G395" i="2"/>
  <c r="D395" i="2"/>
  <c r="H395" i="2"/>
  <c r="C397" i="2" l="1"/>
  <c r="G396" i="2"/>
  <c r="F396" i="2"/>
  <c r="E396" i="2"/>
  <c r="D396" i="2"/>
  <c r="H396" i="2"/>
  <c r="F397" i="2" l="1"/>
  <c r="E397" i="2"/>
  <c r="D397" i="2"/>
  <c r="G397" i="2"/>
  <c r="H397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F5FC7B9-FCAB-4CF9-AF7C-B22F35731A64}" name="spxPriceChange" type="1" refreshedVersion="6" savePassword="1" background="1" refreshOnLoad="1" saveData="1" credentials="none">
    <dbPr connection="DRIVER=SQL Server;SERVER=JAMESITX;UID=james;Trusted_Connection=Yes;APP=Microsoft Office;WSID=JAMESITX" command="SELECT Ticker, [Name], logPriceChange, [Date] FROM [master].[dbo].[spxPriceChange] WHERE Ticker IN ('ABBV')"/>
  </connection>
  <connection id="2" xr16:uid="{9744A6BB-F839-4932-9AB2-C7796CC4C827}" name="spxPriceChange1" type="1" refreshedVersion="6" savePassword="1" background="1" saveData="1" credentials="none">
    <dbPr connection="DRIVER=SQL Server;SERVER=JAMESITX;UID=james;Trusted_Connection=Yes;APP=Microsoft Office;WSID=JAMESITX" command="SELECT DISTINCT [Ticker]_x000d__x000a__x000d__x000a_  FROM [master].[dbo].[spxPriceChange]"/>
  </connection>
</connections>
</file>

<file path=xl/sharedStrings.xml><?xml version="1.0" encoding="utf-8"?>
<sst xmlns="http://schemas.openxmlformats.org/spreadsheetml/2006/main" count="865" uniqueCount="362">
  <si>
    <t>Ticker</t>
  </si>
  <si>
    <t>Name</t>
  </si>
  <si>
    <t>Date</t>
  </si>
  <si>
    <t>logPriceChange</t>
  </si>
  <si>
    <t>AAPL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</si>
  <si>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</si>
  <si>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</si>
  <si>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</si>
  <si>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</si>
  <si>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</si>
  <si>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</si>
  <si>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</si>
  <si>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</si>
  <si>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</si>
  <si>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</si>
  <si>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</si>
  <si>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</si>
  <si>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</si>
  <si>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</si>
  <si>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</si>
  <si>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</si>
  <si>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</si>
  <si>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</si>
  <si>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</si>
  <si>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</si>
  <si>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</si>
  <si>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</si>
  <si>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</si>
  <si>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</si>
  <si>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</si>
  <si>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</si>
  <si>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</si>
  <si>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</si>
  <si>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</si>
  <si>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</si>
  <si>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</si>
  <si>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</si>
  <si>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</si>
  <si>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</si>
  <si>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</si>
  <si>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</si>
  <si>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</si>
  <si>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</si>
  <si>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</si>
  <si>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</si>
  <si>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</si>
  <si>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</si>
  <si>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</si>
  <si>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</si>
  <si>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</si>
  <si>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</si>
  <si>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</si>
  <si>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</si>
  <si>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</si>
  <si>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</si>
  <si>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</si>
  <si>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</si>
  <si>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</si>
  <si>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</si>
  <si>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</si>
  <si>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</si>
  <si>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</si>
  <si>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</si>
  <si>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</si>
  <si>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</si>
  <si>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</si>
  <si>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</si>
  <si>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</si>
  <si>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</si>
  <si>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</si>
  <si>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</si>
  <si>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</si>
  <si>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</si>
  <si>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</si>
  <si>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</si>
  <si>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</si>
  <si>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</si>
  <si>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</si>
  <si>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</si>
  <si>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</si>
  <si>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</si>
  <si>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</si>
  <si>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</si>
  <si>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</si>
  <si>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</si>
  <si>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</si>
  <si>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</si>
  <si>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</si>
  <si>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</si>
  <si>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</si>
  <si>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</si>
  <si>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</si>
  <si>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</si>
  <si>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</si>
  <si>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</si>
  <si>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</si>
  <si>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</si>
  <si>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</si>
  <si>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</si>
  <si>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</si>
  <si>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</si>
  <si>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</si>
  <si>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</si>
  <si>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</si>
  <si>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</si>
  <si>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</si>
  <si>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</si>
  <si>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</si>
  <si>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</si>
  <si>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</si>
  <si>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</si>
  <si>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</si>
  <si>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</si>
  <si>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</si>
  <si>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</si>
  <si>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</si>
  <si>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</si>
  <si>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</si>
  <si>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</si>
  <si>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</si>
  <si>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</si>
  <si>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</si>
  <si>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</si>
  <si>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</si>
  <si>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</si>
  <si>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</si>
  <si>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</si>
  <si>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</si>
  <si>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</si>
  <si>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</si>
  <si>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</si>
  <si>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</si>
  <si>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</si>
  <si>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</si>
  <si>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</si>
  <si>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</si>
  <si>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</si>
  <si>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</si>
  <si>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</si>
  <si>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</si>
  <si>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</si>
  <si>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</si>
  <si>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</si>
  <si>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</si>
  <si>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</si>
  <si>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</si>
  <si>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</si>
  <si>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</si>
  <si>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</si>
  <si>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</si>
  <si>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</si>
  <si>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</si>
  <si>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</si>
  <si>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</si>
  <si>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</si>
  <si>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</si>
  <si>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</si>
  <si>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</si>
  <si>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</si>
  <si>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</si>
  <si>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</si>
  <si>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</si>
  <si>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</si>
  <si>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</si>
  <si>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</si>
  <si>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</si>
  <si>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</si>
  <si>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</si>
  <si>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</si>
  <si>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</si>
  <si>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</si>
  <si>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</si>
  <si>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</si>
  <si>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</si>
  <si>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</si>
  <si>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</si>
  <si>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</si>
  <si>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</si>
  <si>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</si>
  <si>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</si>
  <si>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</si>
  <si>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</si>
  <si>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</si>
  <si>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</si>
  <si>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</si>
  <si>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</si>
  <si>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</si>
  <si>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2019-01-02</t>
  </si>
  <si>
    <t>2019-01-03</t>
  </si>
  <si>
    <t>2019-01-04</t>
  </si>
  <si>
    <t>2019-01-07</t>
  </si>
  <si>
    <t>2019-01-08</t>
  </si>
  <si>
    <t>2019-01-09</t>
  </si>
  <si>
    <t>2019-01-10</t>
  </si>
  <si>
    <t>2019-01-11</t>
  </si>
  <si>
    <t>2019-01-14</t>
  </si>
  <si>
    <t>2019-01-15</t>
  </si>
  <si>
    <t>2019-01-16</t>
  </si>
  <si>
    <t>2019-01-17</t>
  </si>
  <si>
    <t>2019-01-18</t>
  </si>
  <si>
    <t>2019-01-22</t>
  </si>
  <si>
    <t>2019-01-23</t>
  </si>
  <si>
    <t>2019-01-24</t>
  </si>
  <si>
    <t>2019-01-25</t>
  </si>
  <si>
    <t>2019-01-28</t>
  </si>
  <si>
    <t>2019-01-29</t>
  </si>
  <si>
    <t>2019-01-30</t>
  </si>
  <si>
    <t>2019-01-31</t>
  </si>
  <si>
    <t>2019-02-01</t>
  </si>
  <si>
    <t>2019-02-04</t>
  </si>
  <si>
    <t>2019-02-05</t>
  </si>
  <si>
    <t>2019-02-06</t>
  </si>
  <si>
    <t>2019-02-07</t>
  </si>
  <si>
    <t>2019-02-08</t>
  </si>
  <si>
    <t>2019-02-11</t>
  </si>
  <si>
    <t>2019-02-12</t>
  </si>
  <si>
    <t>2019-02-13</t>
  </si>
  <si>
    <t>2019-02-14</t>
  </si>
  <si>
    <t>2019-02-15</t>
  </si>
  <si>
    <t>2019-02-19</t>
  </si>
  <si>
    <t>2019-02-20</t>
  </si>
  <si>
    <t>2019-02-21</t>
  </si>
  <si>
    <t>2019-02-22</t>
  </si>
  <si>
    <t>2019-02-25</t>
  </si>
  <si>
    <t>2019-02-26</t>
  </si>
  <si>
    <t>2019-02-27</t>
  </si>
  <si>
    <t>2019-02-28</t>
  </si>
  <si>
    <t>2019-03-01</t>
  </si>
  <si>
    <t>2019-03-04</t>
  </si>
  <si>
    <t>2019-03-05</t>
  </si>
  <si>
    <t>2019-03-06</t>
  </si>
  <si>
    <t>2019-03-07</t>
  </si>
  <si>
    <t>2019-03-08</t>
  </si>
  <si>
    <t>2019-03-11</t>
  </si>
  <si>
    <t>2019-03-12</t>
  </si>
  <si>
    <t>2019-03-13</t>
  </si>
  <si>
    <t>2019-03-14</t>
  </si>
  <si>
    <t>2019-03-15</t>
  </si>
  <si>
    <t>2019-03-18</t>
  </si>
  <si>
    <t>2019-03-19</t>
  </si>
  <si>
    <t>2019-03-20</t>
  </si>
  <si>
    <t>2019-03-21</t>
  </si>
  <si>
    <t>2019-03-22</t>
  </si>
  <si>
    <t>2019-03-25</t>
  </si>
  <si>
    <t>2019-03-26</t>
  </si>
  <si>
    <t>2019-03-27</t>
  </si>
  <si>
    <t>2019-03-28</t>
  </si>
  <si>
    <t>2019-03-29</t>
  </si>
  <si>
    <t>2019-04-01</t>
  </si>
  <si>
    <t>2019-04-02</t>
  </si>
  <si>
    <t>2019-04-03</t>
  </si>
  <si>
    <t>2019-04-04</t>
  </si>
  <si>
    <t>2019-04-05</t>
  </si>
  <si>
    <t>2019-04-08</t>
  </si>
  <si>
    <t>2019-04-09</t>
  </si>
  <si>
    <t>ABBV</t>
  </si>
  <si>
    <t>AbbVie Inc.</t>
  </si>
  <si>
    <t>ABT</t>
  </si>
  <si>
    <t>ACN</t>
  </si>
  <si>
    <t>AGN</t>
  </si>
  <si>
    <t>AIG</t>
  </si>
  <si>
    <t>ALL</t>
  </si>
  <si>
    <t>AMGN</t>
  </si>
  <si>
    <t>AMZN</t>
  </si>
  <si>
    <t>AXP</t>
  </si>
  <si>
    <t>BA</t>
  </si>
  <si>
    <t>BAC</t>
  </si>
  <si>
    <t>BIIB</t>
  </si>
  <si>
    <t>BK</t>
  </si>
  <si>
    <t>BKNG</t>
  </si>
  <si>
    <t>BLK</t>
  </si>
  <si>
    <t>BMY</t>
  </si>
  <si>
    <t>BRK.B</t>
  </si>
  <si>
    <t>C</t>
  </si>
  <si>
    <t>CAT</t>
  </si>
  <si>
    <t>CELG</t>
  </si>
  <si>
    <t>CHTR</t>
  </si>
  <si>
    <t>CL</t>
  </si>
  <si>
    <t>CMCSA</t>
  </si>
  <si>
    <t>COF</t>
  </si>
  <si>
    <t>COP</t>
  </si>
  <si>
    <t>COST</t>
  </si>
  <si>
    <t>CSCO</t>
  </si>
  <si>
    <t>CVS</t>
  </si>
  <si>
    <t>CVX</t>
  </si>
  <si>
    <t>DHR</t>
  </si>
  <si>
    <t>DIS</t>
  </si>
  <si>
    <t>DOW</t>
  </si>
  <si>
    <t>DUK</t>
  </si>
  <si>
    <t>DWDP</t>
  </si>
  <si>
    <t>EMR</t>
  </si>
  <si>
    <t>EXC</t>
  </si>
  <si>
    <t>F</t>
  </si>
  <si>
    <t>FB</t>
  </si>
  <si>
    <t>FDX</t>
  </si>
  <si>
    <t>FOX</t>
  </si>
  <si>
    <t>FOXA</t>
  </si>
  <si>
    <t>GD</t>
  </si>
  <si>
    <t>GE</t>
  </si>
  <si>
    <t>GILD</t>
  </si>
  <si>
    <t>GM</t>
  </si>
  <si>
    <t>GOOG</t>
  </si>
  <si>
    <t>GOOGL</t>
  </si>
  <si>
    <t>GS</t>
  </si>
  <si>
    <t>HD</t>
  </si>
  <si>
    <t>HON</t>
  </si>
  <si>
    <t>IBM</t>
  </si>
  <si>
    <t>INTC</t>
  </si>
  <si>
    <t>JNJ</t>
  </si>
  <si>
    <t>JPM</t>
  </si>
  <si>
    <t>KHC</t>
  </si>
  <si>
    <t>KMI</t>
  </si>
  <si>
    <t>KO</t>
  </si>
  <si>
    <t>LLY</t>
  </si>
  <si>
    <t>LMT</t>
  </si>
  <si>
    <t>LOW</t>
  </si>
  <si>
    <t>MA</t>
  </si>
  <si>
    <t>MCD</t>
  </si>
  <si>
    <t>MDLZ</t>
  </si>
  <si>
    <t>MDT</t>
  </si>
  <si>
    <t>MET</t>
  </si>
  <si>
    <t>MMM</t>
  </si>
  <si>
    <t>MO</t>
  </si>
  <si>
    <t>MRK</t>
  </si>
  <si>
    <t>MS</t>
  </si>
  <si>
    <t>MSFT</t>
  </si>
  <si>
    <t>NEE</t>
  </si>
  <si>
    <t>NFLX</t>
  </si>
  <si>
    <t>NKE</t>
  </si>
  <si>
    <t>NVDA</t>
  </si>
  <si>
    <t>ORCL</t>
  </si>
  <si>
    <t>OXY</t>
  </si>
  <si>
    <t>PEP</t>
  </si>
  <si>
    <t>PFE</t>
  </si>
  <si>
    <t>PG</t>
  </si>
  <si>
    <t>PM</t>
  </si>
  <si>
    <t>PYPL</t>
  </si>
  <si>
    <t>QCOM</t>
  </si>
  <si>
    <t>RTN</t>
  </si>
  <si>
    <t>SBUX</t>
  </si>
  <si>
    <t>SLB</t>
  </si>
  <si>
    <t>SO</t>
  </si>
  <si>
    <t>SPG</t>
  </si>
  <si>
    <t>T</t>
  </si>
  <si>
    <t>TGT</t>
  </si>
  <si>
    <t>TXN</t>
  </si>
  <si>
    <t>UNH</t>
  </si>
  <si>
    <t>UNP</t>
  </si>
  <si>
    <t>UPS</t>
  </si>
  <si>
    <t>USB</t>
  </si>
  <si>
    <t>UTX</t>
  </si>
  <si>
    <t>V</t>
  </si>
  <si>
    <t>Ticker 1</t>
  </si>
  <si>
    <t>Ticker 2</t>
  </si>
  <si>
    <t>Ticker 3</t>
  </si>
  <si>
    <t>Ticker 4</t>
  </si>
  <si>
    <t>Ticker 5</t>
  </si>
  <si>
    <t>DateFormatted</t>
  </si>
  <si>
    <t>Max Date:</t>
  </si>
  <si>
    <t>Min Date:</t>
  </si>
  <si>
    <t>DateTicker</t>
  </si>
  <si>
    <t>L12M 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</si>
</sst>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0.00%;\(0.00\)%"/>
    <numFmt numFmtId="167" formatCode="0.0%;\(0.0\)%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3">
    <xf numFmtId="0" fontId="0" fillId="0" borderId="0" xfId="0"/>
    <xf numFmtId="0" fontId="2" fillId="0" borderId="0" xfId="0" applyFont="1"/>
    <xf numFmtId="10" fontId="0" fillId="0" borderId="0" xfId="1" applyNumberFormat="1" applyFont="1"/>
    <xf numFmtId="164" fontId="0" fillId="0" borderId="0" xfId="0" applyNumberFormat="1"/>
    <xf numFmtId="15" fontId="0" fillId="0" borderId="0" xfId="0" applyNumberFormat="1"/>
    <xf numFmtId="0" fontId="3" fillId="0" borderId="0" xfId="0" applyFont="1"/>
    <xf numFmtId="15" fontId="5" fillId="0" borderId="0" xfId="0" applyNumberFormat="1" applyFont="1"/>
    <xf numFmtId="0" fontId="2" fillId="0" borderId="1" xfId="0" applyFont="1" applyBorder="1"/>
    <xf numFmtId="10" fontId="6" fillId="2" borderId="1" xfId="0" applyNumberFormat="1" applyFont="1" applyFill="1" applyBorder="1"/>
    <xf numFmtId="10" fontId="0" fillId="2" borderId="0" xfId="0" applyNumberFormat="1" applyFill="1" applyBorder="1"/>
    <xf numFmtId="165" fontId="0" fillId="0" borderId="1" xfId="0" applyNumberFormat="1" applyBorder="1"/>
    <xf numFmtId="165" fontId="0" fillId="0" borderId="0" xfId="0" applyNumberFormat="1" applyBorder="1"/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6" xfId="0" applyFont="1" applyBorder="1"/>
    <xf numFmtId="15" fontId="0" fillId="2" borderId="1" xfId="0" applyNumberFormat="1" applyFill="1" applyBorder="1"/>
    <xf numFmtId="10" fontId="0" fillId="2" borderId="7" xfId="0" applyNumberFormat="1" applyFill="1" applyBorder="1"/>
    <xf numFmtId="15" fontId="0" fillId="0" borderId="1" xfId="0" applyNumberFormat="1" applyBorder="1"/>
    <xf numFmtId="165" fontId="0" fillId="0" borderId="7" xfId="0" applyNumberFormat="1" applyBorder="1"/>
    <xf numFmtId="15" fontId="0" fillId="0" borderId="3" xfId="0" applyNumberFormat="1" applyBorder="1"/>
    <xf numFmtId="165" fontId="0" fillId="0" borderId="3" xfId="0" applyNumberFormat="1" applyBorder="1"/>
    <xf numFmtId="165" fontId="0" fillId="0" borderId="2" xfId="0" applyNumberFormat="1" applyBorder="1"/>
    <xf numFmtId="165" fontId="0" fillId="0" borderId="8" xfId="0" applyNumberFormat="1" applyBorder="1"/>
    <xf numFmtId="0" fontId="2" fillId="0" borderId="9" xfId="0" applyFont="1" applyBorder="1"/>
    <xf numFmtId="0" fontId="2" fillId="0" borderId="10" xfId="0" applyFont="1" applyBorder="1"/>
    <xf numFmtId="0" fontId="4" fillId="0" borderId="10" xfId="0" applyFont="1" applyBorder="1"/>
    <xf numFmtId="0" fontId="4" fillId="0" borderId="11" xfId="0" applyFont="1" applyBorder="1"/>
    <xf numFmtId="0" fontId="4" fillId="0" borderId="12" xfId="0" applyFont="1" applyBorder="1"/>
    <xf numFmtId="167" fontId="0" fillId="0" borderId="10" xfId="1" applyNumberFormat="1" applyFont="1" applyBorder="1" applyAlignment="1">
      <alignment horizontal="center"/>
    </xf>
    <xf numFmtId="167" fontId="0" fillId="0" borderId="11" xfId="0" applyNumberFormat="1" applyBorder="1" applyAlignment="1">
      <alignment horizontal="center"/>
    </xf>
    <xf numFmtId="167" fontId="0" fillId="0" borderId="12" xfId="0" applyNumberFormat="1" applyBorder="1" applyAlignment="1">
      <alignment horizontal="center"/>
    </xf>
    <xf numFmtId="0" fontId="7" fillId="0" borderId="0" xfId="0" applyFont="1"/>
  </cellXfs>
  <cellStyles count="2">
    <cellStyle name="Normal" xfId="0" builtinId="0"/>
    <cellStyle name="Percent" xfId="1" builtinId="5"/>
  </cellStyles>
  <dxfs count="4">
    <dxf>
      <numFmt numFmtId="20" formatCode="dd\-mmm\-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numFmt numFmtId="14" formatCode="0.00%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Log Index Share Price</a:t>
            </a:r>
            <a:r>
              <a:rPr lang="en-GB" b="1" baseline="0"/>
              <a:t> L12M</a:t>
            </a:r>
            <a:endParaRPr lang="en-GB" b="1"/>
          </a:p>
        </c:rich>
      </c:tx>
      <c:layout>
        <c:manualLayout>
          <c:xMode val="edge"/>
          <c:yMode val="edge"/>
          <c:x val="3.0466682293158794E-2"/>
          <c:y val="2.27192022876626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3101250987507488E-2"/>
          <c:y val="0.10533190160617605"/>
          <c:w val="0.89417670090025958"/>
          <c:h val="0.77214071236327109"/>
        </c:manualLayout>
      </c:layout>
      <c:lineChart>
        <c:grouping val="standard"/>
        <c:varyColors val="0"/>
        <c:ser>
          <c:idx val="0"/>
          <c:order val="0"/>
          <c:tx>
            <c:strRef>
              <c:f>Charts!$D$15</c:f>
              <c:strCache>
                <c:ptCount val="1"/>
                <c:pt idx="0">
                  <c:v>ABBV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Charts!$C$16:$C$379</c:f>
              <c:numCache>
                <c:formatCode>d\-mmm\-yy</c:formatCode>
                <c:ptCount val="364"/>
                <c:pt idx="0">
                  <c:v>43201</c:v>
                </c:pt>
                <c:pt idx="1">
                  <c:v>43202</c:v>
                </c:pt>
                <c:pt idx="2">
                  <c:v>43203</c:v>
                </c:pt>
                <c:pt idx="3">
                  <c:v>43204</c:v>
                </c:pt>
                <c:pt idx="4">
                  <c:v>43205</c:v>
                </c:pt>
                <c:pt idx="5">
                  <c:v>43206</c:v>
                </c:pt>
                <c:pt idx="6">
                  <c:v>43207</c:v>
                </c:pt>
                <c:pt idx="7">
                  <c:v>43208</c:v>
                </c:pt>
                <c:pt idx="8">
                  <c:v>43209</c:v>
                </c:pt>
                <c:pt idx="9">
                  <c:v>43210</c:v>
                </c:pt>
                <c:pt idx="10">
                  <c:v>43211</c:v>
                </c:pt>
                <c:pt idx="11">
                  <c:v>43212</c:v>
                </c:pt>
                <c:pt idx="12">
                  <c:v>43213</c:v>
                </c:pt>
                <c:pt idx="13">
                  <c:v>43214</c:v>
                </c:pt>
                <c:pt idx="14">
                  <c:v>43215</c:v>
                </c:pt>
                <c:pt idx="15">
                  <c:v>43216</c:v>
                </c:pt>
                <c:pt idx="16">
                  <c:v>43217</c:v>
                </c:pt>
                <c:pt idx="17">
                  <c:v>43218</c:v>
                </c:pt>
                <c:pt idx="18">
                  <c:v>43219</c:v>
                </c:pt>
                <c:pt idx="19">
                  <c:v>43220</c:v>
                </c:pt>
                <c:pt idx="20">
                  <c:v>43221</c:v>
                </c:pt>
                <c:pt idx="21">
                  <c:v>43222</c:v>
                </c:pt>
                <c:pt idx="22">
                  <c:v>43223</c:v>
                </c:pt>
                <c:pt idx="23">
                  <c:v>43224</c:v>
                </c:pt>
                <c:pt idx="24">
                  <c:v>43225</c:v>
                </c:pt>
                <c:pt idx="25">
                  <c:v>43226</c:v>
                </c:pt>
                <c:pt idx="26">
                  <c:v>43227</c:v>
                </c:pt>
                <c:pt idx="27">
                  <c:v>43228</c:v>
                </c:pt>
                <c:pt idx="28">
                  <c:v>43229</c:v>
                </c:pt>
                <c:pt idx="29">
                  <c:v>43230</c:v>
                </c:pt>
                <c:pt idx="30">
                  <c:v>43231</c:v>
                </c:pt>
                <c:pt idx="31">
                  <c:v>43232</c:v>
                </c:pt>
                <c:pt idx="32">
                  <c:v>43233</c:v>
                </c:pt>
                <c:pt idx="33">
                  <c:v>43234</c:v>
                </c:pt>
                <c:pt idx="34">
                  <c:v>43235</c:v>
                </c:pt>
                <c:pt idx="35">
                  <c:v>43236</c:v>
                </c:pt>
                <c:pt idx="36">
                  <c:v>43237</c:v>
                </c:pt>
                <c:pt idx="37">
                  <c:v>43238</c:v>
                </c:pt>
                <c:pt idx="38">
                  <c:v>43239</c:v>
                </c:pt>
                <c:pt idx="39">
                  <c:v>43240</c:v>
                </c:pt>
                <c:pt idx="40">
                  <c:v>43241</c:v>
                </c:pt>
                <c:pt idx="41">
                  <c:v>43242</c:v>
                </c:pt>
                <c:pt idx="42">
                  <c:v>43243</c:v>
                </c:pt>
                <c:pt idx="43">
                  <c:v>43244</c:v>
                </c:pt>
                <c:pt idx="44">
                  <c:v>43245</c:v>
                </c:pt>
                <c:pt idx="45">
                  <c:v>43246</c:v>
                </c:pt>
                <c:pt idx="46">
                  <c:v>43247</c:v>
                </c:pt>
                <c:pt idx="47">
                  <c:v>43248</c:v>
                </c:pt>
                <c:pt idx="48">
                  <c:v>43249</c:v>
                </c:pt>
                <c:pt idx="49">
                  <c:v>43250</c:v>
                </c:pt>
                <c:pt idx="50">
                  <c:v>43251</c:v>
                </c:pt>
                <c:pt idx="51">
                  <c:v>43252</c:v>
                </c:pt>
                <c:pt idx="52">
                  <c:v>43253</c:v>
                </c:pt>
                <c:pt idx="53">
                  <c:v>43254</c:v>
                </c:pt>
                <c:pt idx="54">
                  <c:v>43255</c:v>
                </c:pt>
                <c:pt idx="55">
                  <c:v>43256</c:v>
                </c:pt>
                <c:pt idx="56">
                  <c:v>43257</c:v>
                </c:pt>
                <c:pt idx="57">
                  <c:v>43258</c:v>
                </c:pt>
                <c:pt idx="58">
                  <c:v>43259</c:v>
                </c:pt>
                <c:pt idx="59">
                  <c:v>43260</c:v>
                </c:pt>
                <c:pt idx="60">
                  <c:v>43261</c:v>
                </c:pt>
                <c:pt idx="61">
                  <c:v>43262</c:v>
                </c:pt>
                <c:pt idx="62">
                  <c:v>43263</c:v>
                </c:pt>
                <c:pt idx="63">
                  <c:v>43264</c:v>
                </c:pt>
                <c:pt idx="64">
                  <c:v>43265</c:v>
                </c:pt>
                <c:pt idx="65">
                  <c:v>43266</c:v>
                </c:pt>
                <c:pt idx="66">
                  <c:v>43267</c:v>
                </c:pt>
                <c:pt idx="67">
                  <c:v>43268</c:v>
                </c:pt>
                <c:pt idx="68">
                  <c:v>43269</c:v>
                </c:pt>
                <c:pt idx="69">
                  <c:v>43270</c:v>
                </c:pt>
                <c:pt idx="70">
                  <c:v>43271</c:v>
                </c:pt>
                <c:pt idx="71">
                  <c:v>43272</c:v>
                </c:pt>
                <c:pt idx="72">
                  <c:v>43273</c:v>
                </c:pt>
                <c:pt idx="73">
                  <c:v>43274</c:v>
                </c:pt>
                <c:pt idx="74">
                  <c:v>43275</c:v>
                </c:pt>
                <c:pt idx="75">
                  <c:v>43276</c:v>
                </c:pt>
                <c:pt idx="76">
                  <c:v>43277</c:v>
                </c:pt>
                <c:pt idx="77">
                  <c:v>43278</c:v>
                </c:pt>
                <c:pt idx="78">
                  <c:v>43279</c:v>
                </c:pt>
                <c:pt idx="79">
                  <c:v>43280</c:v>
                </c:pt>
                <c:pt idx="80">
                  <c:v>43281</c:v>
                </c:pt>
                <c:pt idx="81">
                  <c:v>43282</c:v>
                </c:pt>
                <c:pt idx="82">
                  <c:v>43283</c:v>
                </c:pt>
                <c:pt idx="83">
                  <c:v>43284</c:v>
                </c:pt>
                <c:pt idx="84">
                  <c:v>43285</c:v>
                </c:pt>
                <c:pt idx="85">
                  <c:v>43286</c:v>
                </c:pt>
                <c:pt idx="86">
                  <c:v>43287</c:v>
                </c:pt>
                <c:pt idx="87">
                  <c:v>43288</c:v>
                </c:pt>
                <c:pt idx="88">
                  <c:v>43289</c:v>
                </c:pt>
                <c:pt idx="89">
                  <c:v>43290</c:v>
                </c:pt>
                <c:pt idx="90">
                  <c:v>43291</c:v>
                </c:pt>
                <c:pt idx="91">
                  <c:v>43292</c:v>
                </c:pt>
                <c:pt idx="92">
                  <c:v>43293</c:v>
                </c:pt>
                <c:pt idx="93">
                  <c:v>43294</c:v>
                </c:pt>
                <c:pt idx="94">
                  <c:v>43295</c:v>
                </c:pt>
                <c:pt idx="95">
                  <c:v>43296</c:v>
                </c:pt>
                <c:pt idx="96">
                  <c:v>43297</c:v>
                </c:pt>
                <c:pt idx="97">
                  <c:v>43298</c:v>
                </c:pt>
                <c:pt idx="98">
                  <c:v>43299</c:v>
                </c:pt>
                <c:pt idx="99">
                  <c:v>43300</c:v>
                </c:pt>
                <c:pt idx="100">
                  <c:v>43301</c:v>
                </c:pt>
                <c:pt idx="101">
                  <c:v>43302</c:v>
                </c:pt>
                <c:pt idx="102">
                  <c:v>43303</c:v>
                </c:pt>
                <c:pt idx="103">
                  <c:v>43304</c:v>
                </c:pt>
                <c:pt idx="104">
                  <c:v>43305</c:v>
                </c:pt>
                <c:pt idx="105">
                  <c:v>43306</c:v>
                </c:pt>
                <c:pt idx="106">
                  <c:v>43307</c:v>
                </c:pt>
                <c:pt idx="107">
                  <c:v>43308</c:v>
                </c:pt>
                <c:pt idx="108">
                  <c:v>43309</c:v>
                </c:pt>
                <c:pt idx="109">
                  <c:v>43310</c:v>
                </c:pt>
                <c:pt idx="110">
                  <c:v>43311</c:v>
                </c:pt>
                <c:pt idx="111">
                  <c:v>43312</c:v>
                </c:pt>
                <c:pt idx="112">
                  <c:v>43313</c:v>
                </c:pt>
                <c:pt idx="113">
                  <c:v>43314</c:v>
                </c:pt>
                <c:pt idx="114">
                  <c:v>43315</c:v>
                </c:pt>
                <c:pt idx="115">
                  <c:v>43316</c:v>
                </c:pt>
                <c:pt idx="116">
                  <c:v>43317</c:v>
                </c:pt>
                <c:pt idx="117">
                  <c:v>43318</c:v>
                </c:pt>
                <c:pt idx="118">
                  <c:v>43319</c:v>
                </c:pt>
                <c:pt idx="119">
                  <c:v>43320</c:v>
                </c:pt>
                <c:pt idx="120">
                  <c:v>43321</c:v>
                </c:pt>
                <c:pt idx="121">
                  <c:v>43322</c:v>
                </c:pt>
                <c:pt idx="122">
                  <c:v>43323</c:v>
                </c:pt>
                <c:pt idx="123">
                  <c:v>43324</c:v>
                </c:pt>
                <c:pt idx="124">
                  <c:v>43325</c:v>
                </c:pt>
                <c:pt idx="125">
                  <c:v>43326</c:v>
                </c:pt>
                <c:pt idx="126">
                  <c:v>43327</c:v>
                </c:pt>
                <c:pt idx="127">
                  <c:v>43328</c:v>
                </c:pt>
                <c:pt idx="128">
                  <c:v>43329</c:v>
                </c:pt>
                <c:pt idx="129">
                  <c:v>43330</c:v>
                </c:pt>
                <c:pt idx="130">
                  <c:v>43331</c:v>
                </c:pt>
                <c:pt idx="131">
                  <c:v>43332</c:v>
                </c:pt>
                <c:pt idx="132">
                  <c:v>43333</c:v>
                </c:pt>
                <c:pt idx="133">
                  <c:v>43334</c:v>
                </c:pt>
                <c:pt idx="134">
                  <c:v>43335</c:v>
                </c:pt>
                <c:pt idx="135">
                  <c:v>43336</c:v>
                </c:pt>
                <c:pt idx="136">
                  <c:v>43337</c:v>
                </c:pt>
                <c:pt idx="137">
                  <c:v>43338</c:v>
                </c:pt>
                <c:pt idx="138">
                  <c:v>43339</c:v>
                </c:pt>
                <c:pt idx="139">
                  <c:v>43340</c:v>
                </c:pt>
                <c:pt idx="140">
                  <c:v>43341</c:v>
                </c:pt>
                <c:pt idx="141">
                  <c:v>43342</c:v>
                </c:pt>
                <c:pt idx="142">
                  <c:v>43343</c:v>
                </c:pt>
                <c:pt idx="143">
                  <c:v>43344</c:v>
                </c:pt>
                <c:pt idx="144">
                  <c:v>43345</c:v>
                </c:pt>
                <c:pt idx="145">
                  <c:v>43346</c:v>
                </c:pt>
                <c:pt idx="146">
                  <c:v>43347</c:v>
                </c:pt>
                <c:pt idx="147">
                  <c:v>43348</c:v>
                </c:pt>
                <c:pt idx="148">
                  <c:v>43349</c:v>
                </c:pt>
                <c:pt idx="149">
                  <c:v>43350</c:v>
                </c:pt>
                <c:pt idx="150">
                  <c:v>43351</c:v>
                </c:pt>
                <c:pt idx="151">
                  <c:v>43352</c:v>
                </c:pt>
                <c:pt idx="152">
                  <c:v>43353</c:v>
                </c:pt>
                <c:pt idx="153">
                  <c:v>43354</c:v>
                </c:pt>
                <c:pt idx="154">
                  <c:v>43355</c:v>
                </c:pt>
                <c:pt idx="155">
                  <c:v>43356</c:v>
                </c:pt>
                <c:pt idx="156">
                  <c:v>43357</c:v>
                </c:pt>
                <c:pt idx="157">
                  <c:v>43358</c:v>
                </c:pt>
                <c:pt idx="158">
                  <c:v>43359</c:v>
                </c:pt>
                <c:pt idx="159">
                  <c:v>43360</c:v>
                </c:pt>
                <c:pt idx="160">
                  <c:v>43361</c:v>
                </c:pt>
                <c:pt idx="161">
                  <c:v>43362</c:v>
                </c:pt>
                <c:pt idx="162">
                  <c:v>43363</c:v>
                </c:pt>
                <c:pt idx="163">
                  <c:v>43364</c:v>
                </c:pt>
                <c:pt idx="164">
                  <c:v>43365</c:v>
                </c:pt>
                <c:pt idx="165">
                  <c:v>43366</c:v>
                </c:pt>
                <c:pt idx="166">
                  <c:v>43367</c:v>
                </c:pt>
                <c:pt idx="167">
                  <c:v>43368</c:v>
                </c:pt>
                <c:pt idx="168">
                  <c:v>43369</c:v>
                </c:pt>
                <c:pt idx="169">
                  <c:v>43370</c:v>
                </c:pt>
                <c:pt idx="170">
                  <c:v>43371</c:v>
                </c:pt>
                <c:pt idx="171">
                  <c:v>43372</c:v>
                </c:pt>
                <c:pt idx="172">
                  <c:v>43373</c:v>
                </c:pt>
                <c:pt idx="173">
                  <c:v>43374</c:v>
                </c:pt>
                <c:pt idx="174">
                  <c:v>43375</c:v>
                </c:pt>
                <c:pt idx="175">
                  <c:v>43376</c:v>
                </c:pt>
                <c:pt idx="176">
                  <c:v>43377</c:v>
                </c:pt>
                <c:pt idx="177">
                  <c:v>43378</c:v>
                </c:pt>
                <c:pt idx="178">
                  <c:v>43379</c:v>
                </c:pt>
                <c:pt idx="179">
                  <c:v>43380</c:v>
                </c:pt>
                <c:pt idx="180">
                  <c:v>43381</c:v>
                </c:pt>
                <c:pt idx="181">
                  <c:v>43382</c:v>
                </c:pt>
                <c:pt idx="182">
                  <c:v>43383</c:v>
                </c:pt>
                <c:pt idx="183">
                  <c:v>43384</c:v>
                </c:pt>
                <c:pt idx="184">
                  <c:v>43385</c:v>
                </c:pt>
                <c:pt idx="185">
                  <c:v>43386</c:v>
                </c:pt>
                <c:pt idx="186">
                  <c:v>43387</c:v>
                </c:pt>
                <c:pt idx="187">
                  <c:v>43388</c:v>
                </c:pt>
                <c:pt idx="188">
                  <c:v>43389</c:v>
                </c:pt>
                <c:pt idx="189">
                  <c:v>43390</c:v>
                </c:pt>
                <c:pt idx="190">
                  <c:v>43391</c:v>
                </c:pt>
                <c:pt idx="191">
                  <c:v>43392</c:v>
                </c:pt>
                <c:pt idx="192">
                  <c:v>43393</c:v>
                </c:pt>
                <c:pt idx="193">
                  <c:v>43394</c:v>
                </c:pt>
                <c:pt idx="194">
                  <c:v>43395</c:v>
                </c:pt>
                <c:pt idx="195">
                  <c:v>43396</c:v>
                </c:pt>
                <c:pt idx="196">
                  <c:v>43397</c:v>
                </c:pt>
                <c:pt idx="197">
                  <c:v>43398</c:v>
                </c:pt>
                <c:pt idx="198">
                  <c:v>43399</c:v>
                </c:pt>
                <c:pt idx="199">
                  <c:v>43400</c:v>
                </c:pt>
                <c:pt idx="200">
                  <c:v>43401</c:v>
                </c:pt>
                <c:pt idx="201">
                  <c:v>43402</c:v>
                </c:pt>
                <c:pt idx="202">
                  <c:v>43403</c:v>
                </c:pt>
                <c:pt idx="203">
                  <c:v>43404</c:v>
                </c:pt>
                <c:pt idx="204">
                  <c:v>43405</c:v>
                </c:pt>
                <c:pt idx="205">
                  <c:v>43406</c:v>
                </c:pt>
                <c:pt idx="206">
                  <c:v>43407</c:v>
                </c:pt>
                <c:pt idx="207">
                  <c:v>43408</c:v>
                </c:pt>
                <c:pt idx="208">
                  <c:v>43409</c:v>
                </c:pt>
                <c:pt idx="209">
                  <c:v>43410</c:v>
                </c:pt>
                <c:pt idx="210">
                  <c:v>43411</c:v>
                </c:pt>
                <c:pt idx="211">
                  <c:v>43412</c:v>
                </c:pt>
                <c:pt idx="212">
                  <c:v>43413</c:v>
                </c:pt>
                <c:pt idx="213">
                  <c:v>43414</c:v>
                </c:pt>
                <c:pt idx="214">
                  <c:v>43415</c:v>
                </c:pt>
                <c:pt idx="215">
                  <c:v>43416</c:v>
                </c:pt>
                <c:pt idx="216">
                  <c:v>43417</c:v>
                </c:pt>
                <c:pt idx="217">
                  <c:v>43418</c:v>
                </c:pt>
                <c:pt idx="218">
                  <c:v>43419</c:v>
                </c:pt>
                <c:pt idx="219">
                  <c:v>43420</c:v>
                </c:pt>
                <c:pt idx="220">
                  <c:v>43421</c:v>
                </c:pt>
                <c:pt idx="221">
                  <c:v>43422</c:v>
                </c:pt>
                <c:pt idx="222">
                  <c:v>43423</c:v>
                </c:pt>
                <c:pt idx="223">
                  <c:v>43424</c:v>
                </c:pt>
                <c:pt idx="224">
                  <c:v>43425</c:v>
                </c:pt>
                <c:pt idx="225">
                  <c:v>43426</c:v>
                </c:pt>
                <c:pt idx="226">
                  <c:v>43427</c:v>
                </c:pt>
                <c:pt idx="227">
                  <c:v>43428</c:v>
                </c:pt>
                <c:pt idx="228">
                  <c:v>43429</c:v>
                </c:pt>
                <c:pt idx="229">
                  <c:v>43430</c:v>
                </c:pt>
                <c:pt idx="230">
                  <c:v>43431</c:v>
                </c:pt>
                <c:pt idx="231">
                  <c:v>43432</c:v>
                </c:pt>
                <c:pt idx="232">
                  <c:v>43433</c:v>
                </c:pt>
                <c:pt idx="233">
                  <c:v>43434</c:v>
                </c:pt>
                <c:pt idx="234">
                  <c:v>43435</c:v>
                </c:pt>
                <c:pt idx="235">
                  <c:v>43436</c:v>
                </c:pt>
                <c:pt idx="236">
                  <c:v>43437</c:v>
                </c:pt>
                <c:pt idx="237">
                  <c:v>43438</c:v>
                </c:pt>
                <c:pt idx="238">
                  <c:v>43439</c:v>
                </c:pt>
                <c:pt idx="239">
                  <c:v>43440</c:v>
                </c:pt>
                <c:pt idx="240">
                  <c:v>43441</c:v>
                </c:pt>
                <c:pt idx="241">
                  <c:v>43442</c:v>
                </c:pt>
                <c:pt idx="242">
                  <c:v>43443</c:v>
                </c:pt>
                <c:pt idx="243">
                  <c:v>43444</c:v>
                </c:pt>
                <c:pt idx="244">
                  <c:v>43445</c:v>
                </c:pt>
                <c:pt idx="245">
                  <c:v>43446</c:v>
                </c:pt>
                <c:pt idx="246">
                  <c:v>43447</c:v>
                </c:pt>
                <c:pt idx="247">
                  <c:v>43448</c:v>
                </c:pt>
                <c:pt idx="248">
                  <c:v>43449</c:v>
                </c:pt>
                <c:pt idx="249">
                  <c:v>43450</c:v>
                </c:pt>
                <c:pt idx="250">
                  <c:v>43451</c:v>
                </c:pt>
                <c:pt idx="251">
                  <c:v>43452</c:v>
                </c:pt>
                <c:pt idx="252">
                  <c:v>43453</c:v>
                </c:pt>
                <c:pt idx="253">
                  <c:v>43454</c:v>
                </c:pt>
                <c:pt idx="254">
                  <c:v>43455</c:v>
                </c:pt>
                <c:pt idx="255">
                  <c:v>43456</c:v>
                </c:pt>
                <c:pt idx="256">
                  <c:v>43457</c:v>
                </c:pt>
                <c:pt idx="257">
                  <c:v>43458</c:v>
                </c:pt>
                <c:pt idx="258">
                  <c:v>43459</c:v>
                </c:pt>
                <c:pt idx="259">
                  <c:v>43460</c:v>
                </c:pt>
                <c:pt idx="260">
                  <c:v>43461</c:v>
                </c:pt>
                <c:pt idx="261">
                  <c:v>43462</c:v>
                </c:pt>
                <c:pt idx="262">
                  <c:v>43463</c:v>
                </c:pt>
                <c:pt idx="263">
                  <c:v>43464</c:v>
                </c:pt>
                <c:pt idx="264">
                  <c:v>43465</c:v>
                </c:pt>
                <c:pt idx="265">
                  <c:v>43466</c:v>
                </c:pt>
                <c:pt idx="266">
                  <c:v>43467</c:v>
                </c:pt>
                <c:pt idx="267">
                  <c:v>43468</c:v>
                </c:pt>
                <c:pt idx="268">
                  <c:v>43469</c:v>
                </c:pt>
                <c:pt idx="269">
                  <c:v>43470</c:v>
                </c:pt>
                <c:pt idx="270">
                  <c:v>43471</c:v>
                </c:pt>
                <c:pt idx="271">
                  <c:v>43472</c:v>
                </c:pt>
                <c:pt idx="272">
                  <c:v>43473</c:v>
                </c:pt>
                <c:pt idx="273">
                  <c:v>43474</c:v>
                </c:pt>
                <c:pt idx="274">
                  <c:v>43475</c:v>
                </c:pt>
                <c:pt idx="275">
                  <c:v>43476</c:v>
                </c:pt>
                <c:pt idx="276">
                  <c:v>43477</c:v>
                </c:pt>
                <c:pt idx="277">
                  <c:v>43478</c:v>
                </c:pt>
                <c:pt idx="278">
                  <c:v>43479</c:v>
                </c:pt>
                <c:pt idx="279">
                  <c:v>43480</c:v>
                </c:pt>
                <c:pt idx="280">
                  <c:v>43481</c:v>
                </c:pt>
                <c:pt idx="281">
                  <c:v>43482</c:v>
                </c:pt>
                <c:pt idx="282">
                  <c:v>43483</c:v>
                </c:pt>
                <c:pt idx="283">
                  <c:v>43484</c:v>
                </c:pt>
                <c:pt idx="284">
                  <c:v>43485</c:v>
                </c:pt>
                <c:pt idx="285">
                  <c:v>43486</c:v>
                </c:pt>
                <c:pt idx="286">
                  <c:v>43487</c:v>
                </c:pt>
                <c:pt idx="287">
                  <c:v>43488</c:v>
                </c:pt>
                <c:pt idx="288">
                  <c:v>43489</c:v>
                </c:pt>
                <c:pt idx="289">
                  <c:v>43490</c:v>
                </c:pt>
                <c:pt idx="290">
                  <c:v>43491</c:v>
                </c:pt>
                <c:pt idx="291">
                  <c:v>43492</c:v>
                </c:pt>
                <c:pt idx="292">
                  <c:v>43493</c:v>
                </c:pt>
                <c:pt idx="293">
                  <c:v>43494</c:v>
                </c:pt>
                <c:pt idx="294">
                  <c:v>43495</c:v>
                </c:pt>
                <c:pt idx="295">
                  <c:v>43496</c:v>
                </c:pt>
                <c:pt idx="296">
                  <c:v>43497</c:v>
                </c:pt>
                <c:pt idx="297">
                  <c:v>43498</c:v>
                </c:pt>
                <c:pt idx="298">
                  <c:v>43499</c:v>
                </c:pt>
                <c:pt idx="299">
                  <c:v>43500</c:v>
                </c:pt>
                <c:pt idx="300">
                  <c:v>43501</c:v>
                </c:pt>
                <c:pt idx="301">
                  <c:v>43502</c:v>
                </c:pt>
                <c:pt idx="302">
                  <c:v>43503</c:v>
                </c:pt>
                <c:pt idx="303">
                  <c:v>43504</c:v>
                </c:pt>
                <c:pt idx="304">
                  <c:v>43505</c:v>
                </c:pt>
                <c:pt idx="305">
                  <c:v>43506</c:v>
                </c:pt>
                <c:pt idx="306">
                  <c:v>43507</c:v>
                </c:pt>
                <c:pt idx="307">
                  <c:v>43508</c:v>
                </c:pt>
                <c:pt idx="308">
                  <c:v>43509</c:v>
                </c:pt>
                <c:pt idx="309">
                  <c:v>43510</c:v>
                </c:pt>
                <c:pt idx="310">
                  <c:v>43511</c:v>
                </c:pt>
                <c:pt idx="311">
                  <c:v>43512</c:v>
                </c:pt>
                <c:pt idx="312">
                  <c:v>43513</c:v>
                </c:pt>
                <c:pt idx="313">
                  <c:v>43514</c:v>
                </c:pt>
                <c:pt idx="314">
                  <c:v>43515</c:v>
                </c:pt>
                <c:pt idx="315">
                  <c:v>43516</c:v>
                </c:pt>
                <c:pt idx="316">
                  <c:v>43517</c:v>
                </c:pt>
                <c:pt idx="317">
                  <c:v>43518</c:v>
                </c:pt>
                <c:pt idx="318">
                  <c:v>43519</c:v>
                </c:pt>
                <c:pt idx="319">
                  <c:v>43520</c:v>
                </c:pt>
                <c:pt idx="320">
                  <c:v>43521</c:v>
                </c:pt>
                <c:pt idx="321">
                  <c:v>43522</c:v>
                </c:pt>
                <c:pt idx="322">
                  <c:v>43523</c:v>
                </c:pt>
                <c:pt idx="323">
                  <c:v>43524</c:v>
                </c:pt>
                <c:pt idx="324">
                  <c:v>43525</c:v>
                </c:pt>
                <c:pt idx="325">
                  <c:v>43526</c:v>
                </c:pt>
                <c:pt idx="326">
                  <c:v>43527</c:v>
                </c:pt>
                <c:pt idx="327">
                  <c:v>43528</c:v>
                </c:pt>
                <c:pt idx="328">
                  <c:v>43529</c:v>
                </c:pt>
                <c:pt idx="329">
                  <c:v>43530</c:v>
                </c:pt>
                <c:pt idx="330">
                  <c:v>43531</c:v>
                </c:pt>
                <c:pt idx="331">
                  <c:v>43532</c:v>
                </c:pt>
                <c:pt idx="332">
                  <c:v>43533</c:v>
                </c:pt>
                <c:pt idx="333">
                  <c:v>43534</c:v>
                </c:pt>
                <c:pt idx="334">
                  <c:v>43535</c:v>
                </c:pt>
                <c:pt idx="335">
                  <c:v>43536</c:v>
                </c:pt>
                <c:pt idx="336">
                  <c:v>43537</c:v>
                </c:pt>
                <c:pt idx="337">
                  <c:v>43538</c:v>
                </c:pt>
                <c:pt idx="338">
                  <c:v>43539</c:v>
                </c:pt>
                <c:pt idx="339">
                  <c:v>43540</c:v>
                </c:pt>
                <c:pt idx="340">
                  <c:v>43541</c:v>
                </c:pt>
                <c:pt idx="341">
                  <c:v>43542</c:v>
                </c:pt>
                <c:pt idx="342">
                  <c:v>43543</c:v>
                </c:pt>
                <c:pt idx="343">
                  <c:v>43544</c:v>
                </c:pt>
                <c:pt idx="344">
                  <c:v>43545</c:v>
                </c:pt>
                <c:pt idx="345">
                  <c:v>43546</c:v>
                </c:pt>
                <c:pt idx="346">
                  <c:v>43547</c:v>
                </c:pt>
                <c:pt idx="347">
                  <c:v>43548</c:v>
                </c:pt>
                <c:pt idx="348">
                  <c:v>43549</c:v>
                </c:pt>
                <c:pt idx="349">
                  <c:v>43550</c:v>
                </c:pt>
                <c:pt idx="350">
                  <c:v>43551</c:v>
                </c:pt>
                <c:pt idx="351">
                  <c:v>43552</c:v>
                </c:pt>
                <c:pt idx="352">
                  <c:v>43553</c:v>
                </c:pt>
                <c:pt idx="353">
                  <c:v>43554</c:v>
                </c:pt>
                <c:pt idx="354">
                  <c:v>43555</c:v>
                </c:pt>
                <c:pt idx="355">
                  <c:v>43556</c:v>
                </c:pt>
                <c:pt idx="356">
                  <c:v>43557</c:v>
                </c:pt>
                <c:pt idx="357">
                  <c:v>43558</c:v>
                </c:pt>
                <c:pt idx="358">
                  <c:v>43559</c:v>
                </c:pt>
                <c:pt idx="359">
                  <c:v>43560</c:v>
                </c:pt>
                <c:pt idx="360">
                  <c:v>43561</c:v>
                </c:pt>
                <c:pt idx="361">
                  <c:v>43562</c:v>
                </c:pt>
                <c:pt idx="362">
                  <c:v>43563</c:v>
                </c:pt>
                <c:pt idx="363">
                  <c:v>43564</c:v>
                </c:pt>
              </c:numCache>
            </c:numRef>
          </c:cat>
          <c:val>
            <c:numRef>
              <c:f>Charts!$D$16:$D$379</c:f>
              <c:numCache>
                <c:formatCode>0.00%;\(0.00\)%</c:formatCode>
                <c:ptCount val="364"/>
                <c:pt idx="0" formatCode="0.00%">
                  <c:v>0</c:v>
                </c:pt>
                <c:pt idx="1">
                  <c:v>-6.060333107592691E-3</c:v>
                </c:pt>
                <c:pt idx="2">
                  <c:v>-9.2134954535971654E-3</c:v>
                </c:pt>
                <c:pt idx="3">
                  <c:v>-9.2134954535971654E-3</c:v>
                </c:pt>
                <c:pt idx="4">
                  <c:v>-9.2134954535971654E-3</c:v>
                </c:pt>
                <c:pt idx="5">
                  <c:v>-8.6351648445623895E-4</c:v>
                </c:pt>
                <c:pt idx="6">
                  <c:v>9.771202598194929E-3</c:v>
                </c:pt>
                <c:pt idx="7">
                  <c:v>1.7540818669036833E-2</c:v>
                </c:pt>
                <c:pt idx="8">
                  <c:v>3.5544223587451289E-3</c:v>
                </c:pt>
                <c:pt idx="9">
                  <c:v>-8.6351648445619211E-4</c:v>
                </c:pt>
                <c:pt idx="10">
                  <c:v>-8.6351648445619211E-4</c:v>
                </c:pt>
                <c:pt idx="11">
                  <c:v>-8.6351648445619211E-4</c:v>
                </c:pt>
                <c:pt idx="12">
                  <c:v>5.2731070335330739E-3</c:v>
                </c:pt>
                <c:pt idx="13">
                  <c:v>-1.4345392108931803E-2</c:v>
                </c:pt>
                <c:pt idx="14">
                  <c:v>-8.7780237447805595E-3</c:v>
                </c:pt>
                <c:pt idx="15">
                  <c:v>5.0083883285535029E-2</c:v>
                </c:pt>
                <c:pt idx="16">
                  <c:v>6.3236615839039945E-2</c:v>
                </c:pt>
                <c:pt idx="17">
                  <c:v>6.3236615839039945E-2</c:v>
                </c:pt>
                <c:pt idx="18">
                  <c:v>6.3236615839039945E-2</c:v>
                </c:pt>
                <c:pt idx="19">
                  <c:v>4.0908260568458796E-2</c:v>
                </c:pt>
                <c:pt idx="20">
                  <c:v>9.6506551197394555E-2</c:v>
                </c:pt>
                <c:pt idx="21">
                  <c:v>7.9710330942647345E-2</c:v>
                </c:pt>
                <c:pt idx="22">
                  <c:v>7.8814062142134017E-2</c:v>
                </c:pt>
                <c:pt idx="23">
                  <c:v>7.7715810829212015E-2</c:v>
                </c:pt>
                <c:pt idx="24">
                  <c:v>7.7715810829212015E-2</c:v>
                </c:pt>
                <c:pt idx="25">
                  <c:v>7.7715810829212015E-2</c:v>
                </c:pt>
                <c:pt idx="26">
                  <c:v>7.2311169598495845E-2</c:v>
                </c:pt>
                <c:pt idx="27">
                  <c:v>6.9999291586401988E-2</c:v>
                </c:pt>
                <c:pt idx="28">
                  <c:v>8.7747956088340781E-2</c:v>
                </c:pt>
                <c:pt idx="29">
                  <c:v>0.10411945064658809</c:v>
                </c:pt>
                <c:pt idx="30">
                  <c:v>0.11696763588621971</c:v>
                </c:pt>
                <c:pt idx="31">
                  <c:v>0.11696763588621971</c:v>
                </c:pt>
                <c:pt idx="32">
                  <c:v>0.11696763588621971</c:v>
                </c:pt>
                <c:pt idx="33">
                  <c:v>0.13324823804079303</c:v>
                </c:pt>
                <c:pt idx="34">
                  <c:v>0.11696763588621975</c:v>
                </c:pt>
                <c:pt idx="35">
                  <c:v>0.12518879159989837</c:v>
                </c:pt>
                <c:pt idx="36">
                  <c:v>0.12785076805453011</c:v>
                </c:pt>
                <c:pt idx="37">
                  <c:v>0.13409801864659035</c:v>
                </c:pt>
                <c:pt idx="38">
                  <c:v>0.13409801864659035</c:v>
                </c:pt>
                <c:pt idx="39">
                  <c:v>0.13409801864659035</c:v>
                </c:pt>
                <c:pt idx="40">
                  <c:v>0.13645430599975114</c:v>
                </c:pt>
                <c:pt idx="41">
                  <c:v>0.13645430599975114</c:v>
                </c:pt>
                <c:pt idx="42">
                  <c:v>0.13050567719936709</c:v>
                </c:pt>
                <c:pt idx="43">
                  <c:v>0.1069342352825946</c:v>
                </c:pt>
                <c:pt idx="44">
                  <c:v>8.675968798593961E-2</c:v>
                </c:pt>
                <c:pt idx="45">
                  <c:v>8.675968798593961E-2</c:v>
                </c:pt>
                <c:pt idx="46">
                  <c:v>8.675968798593961E-2</c:v>
                </c:pt>
                <c:pt idx="47">
                  <c:v>8.675968798593961E-2</c:v>
                </c:pt>
                <c:pt idx="48">
                  <c:v>7.0702975666497331E-2</c:v>
                </c:pt>
                <c:pt idx="49">
                  <c:v>0.10567383013167135</c:v>
                </c:pt>
                <c:pt idx="50">
                  <c:v>6.5360483790611962E-2</c:v>
                </c:pt>
                <c:pt idx="51">
                  <c:v>5.6324598538956612E-2</c:v>
                </c:pt>
                <c:pt idx="52">
                  <c:v>5.6324598538956612E-2</c:v>
                </c:pt>
                <c:pt idx="53">
                  <c:v>5.6324598538956612E-2</c:v>
                </c:pt>
                <c:pt idx="54">
                  <c:v>6.697728551683188E-2</c:v>
                </c:pt>
                <c:pt idx="55">
                  <c:v>6.8388413861417335E-2</c:v>
                </c:pt>
                <c:pt idx="56">
                  <c:v>7.5817583314732248E-2</c:v>
                </c:pt>
                <c:pt idx="57">
                  <c:v>6.9194177089755282E-2</c:v>
                </c:pt>
                <c:pt idx="58">
                  <c:v>8.0308426627988996E-2</c:v>
                </c:pt>
                <c:pt idx="59">
                  <c:v>8.0308426627988996E-2</c:v>
                </c:pt>
                <c:pt idx="60">
                  <c:v>8.0308426627988996E-2</c:v>
                </c:pt>
                <c:pt idx="61">
                  <c:v>7.3714796451822953E-2</c:v>
                </c:pt>
                <c:pt idx="62">
                  <c:v>6.5057499391990764E-2</c:v>
                </c:pt>
                <c:pt idx="63">
                  <c:v>5.152009481763746E-2</c:v>
                </c:pt>
                <c:pt idx="64">
                  <c:v>6.3438634878713374E-2</c:v>
                </c:pt>
                <c:pt idx="65">
                  <c:v>7.1708270163261603E-2</c:v>
                </c:pt>
                <c:pt idx="66">
                  <c:v>7.1708270163261603E-2</c:v>
                </c:pt>
                <c:pt idx="67">
                  <c:v>7.1708270163261603E-2</c:v>
                </c:pt>
                <c:pt idx="68">
                  <c:v>6.070110662705492E-2</c:v>
                </c:pt>
                <c:pt idx="69">
                  <c:v>5.5916579644235784E-2</c:v>
                </c:pt>
                <c:pt idx="70">
                  <c:v>5.8362199550997355E-2</c:v>
                </c:pt>
                <c:pt idx="71">
                  <c:v>3.0497423726943335E-2</c:v>
                </c:pt>
                <c:pt idx="72">
                  <c:v>8.7016400555540788E-3</c:v>
                </c:pt>
                <c:pt idx="73">
                  <c:v>8.7016400555540788E-3</c:v>
                </c:pt>
                <c:pt idx="74">
                  <c:v>8.7016400555540788E-3</c:v>
                </c:pt>
                <c:pt idx="75">
                  <c:v>3.9843705327284804E-3</c:v>
                </c:pt>
                <c:pt idx="76">
                  <c:v>-6.0603331075921741E-3</c:v>
                </c:pt>
                <c:pt idx="77">
                  <c:v>-1.2704112899424788E-2</c:v>
                </c:pt>
                <c:pt idx="78">
                  <c:v>-2.7012481354541113E-3</c:v>
                </c:pt>
                <c:pt idx="79">
                  <c:v>-3.2345242241095095E-4</c:v>
                </c:pt>
                <c:pt idx="80">
                  <c:v>-3.2345242241095095E-4</c:v>
                </c:pt>
                <c:pt idx="81">
                  <c:v>-3.2345242241095095E-4</c:v>
                </c:pt>
                <c:pt idx="82">
                  <c:v>4.6283913768477855E-3</c:v>
                </c:pt>
                <c:pt idx="83">
                  <c:v>9.984315443357511E-3</c:v>
                </c:pt>
                <c:pt idx="84">
                  <c:v>9.984315443357511E-3</c:v>
                </c:pt>
                <c:pt idx="85">
                  <c:v>1.923565267886005E-2</c:v>
                </c:pt>
                <c:pt idx="86">
                  <c:v>4.4733231362743917E-2</c:v>
                </c:pt>
                <c:pt idx="87">
                  <c:v>4.4733231362743917E-2</c:v>
                </c:pt>
                <c:pt idx="88">
                  <c:v>4.4733231362743917E-2</c:v>
                </c:pt>
                <c:pt idx="89">
                  <c:v>4.5970540708816635E-2</c:v>
                </c:pt>
                <c:pt idx="90">
                  <c:v>6.4349830035323727E-2</c:v>
                </c:pt>
                <c:pt idx="91">
                  <c:v>2.4302987791507857E-2</c:v>
                </c:pt>
                <c:pt idx="92">
                  <c:v>4.1286066356164094E-2</c:v>
                </c:pt>
                <c:pt idx="93">
                  <c:v>5.1898148439038422E-2</c:v>
                </c:pt>
                <c:pt idx="94">
                  <c:v>5.1898148439038422E-2</c:v>
                </c:pt>
                <c:pt idx="95">
                  <c:v>5.1898148439038422E-2</c:v>
                </c:pt>
                <c:pt idx="96">
                  <c:v>4.7958111601075465E-2</c:v>
                </c:pt>
                <c:pt idx="97">
                  <c:v>3.9191889809665363E-2</c:v>
                </c:pt>
                <c:pt idx="98">
                  <c:v>2.8549592278958931E-2</c:v>
                </c:pt>
                <c:pt idx="99">
                  <c:v>-1.9736901170275996E-2</c:v>
                </c:pt>
                <c:pt idx="100">
                  <c:v>-3.13670942442726E-2</c:v>
                </c:pt>
                <c:pt idx="101">
                  <c:v>-3.13670942442726E-2</c:v>
                </c:pt>
                <c:pt idx="102">
                  <c:v>-3.13670942442726E-2</c:v>
                </c:pt>
                <c:pt idx="103">
                  <c:v>-2.5870342872927617E-2</c:v>
                </c:pt>
                <c:pt idx="104">
                  <c:v>-2.2149540722410828E-3</c:v>
                </c:pt>
                <c:pt idx="105">
                  <c:v>1.4897588770632499E-2</c:v>
                </c:pt>
                <c:pt idx="106">
                  <c:v>2.3664983395290141E-2</c:v>
                </c:pt>
                <c:pt idx="107">
                  <c:v>-1.2978602173192404E-2</c:v>
                </c:pt>
                <c:pt idx="108">
                  <c:v>-1.2978602173192404E-2</c:v>
                </c:pt>
                <c:pt idx="109">
                  <c:v>-1.2978602173192404E-2</c:v>
                </c:pt>
                <c:pt idx="110">
                  <c:v>-3.1989661923700497E-3</c:v>
                </c:pt>
                <c:pt idx="111">
                  <c:v>5.2941836609412523E-3</c:v>
                </c:pt>
                <c:pt idx="112">
                  <c:v>2.3345828488624445E-2</c:v>
                </c:pt>
                <c:pt idx="113">
                  <c:v>3.6148329353934035E-2</c:v>
                </c:pt>
                <c:pt idx="114">
                  <c:v>5.0862131397220352E-2</c:v>
                </c:pt>
                <c:pt idx="115">
                  <c:v>5.0862131397220352E-2</c:v>
                </c:pt>
                <c:pt idx="116">
                  <c:v>5.0862131397220352E-2</c:v>
                </c:pt>
                <c:pt idx="117">
                  <c:v>5.6338301710345526E-2</c:v>
                </c:pt>
                <c:pt idx="118">
                  <c:v>2.4941673100771437E-2</c:v>
                </c:pt>
                <c:pt idx="119">
                  <c:v>2.1426573965834802E-2</c:v>
                </c:pt>
                <c:pt idx="120">
                  <c:v>3.9821139206672934E-2</c:v>
                </c:pt>
                <c:pt idx="121">
                  <c:v>4.327121315471797E-2</c:v>
                </c:pt>
                <c:pt idx="122">
                  <c:v>4.327121315471797E-2</c:v>
                </c:pt>
                <c:pt idx="123">
                  <c:v>4.327121315471797E-2</c:v>
                </c:pt>
                <c:pt idx="124">
                  <c:v>5.3449107149128539E-2</c:v>
                </c:pt>
                <c:pt idx="125">
                  <c:v>4.452313108441467E-2</c:v>
                </c:pt>
                <c:pt idx="126">
                  <c:v>6.0348414406140638E-2</c:v>
                </c:pt>
                <c:pt idx="127">
                  <c:v>6.8218641912647662E-2</c:v>
                </c:pt>
                <c:pt idx="128">
                  <c:v>7.4207775140479548E-2</c:v>
                </c:pt>
                <c:pt idx="129">
                  <c:v>7.4207775140479548E-2</c:v>
                </c:pt>
                <c:pt idx="130">
                  <c:v>7.4207775140479548E-2</c:v>
                </c:pt>
                <c:pt idx="131">
                  <c:v>6.2193422735923973E-2</c:v>
                </c:pt>
                <c:pt idx="132">
                  <c:v>6.3319312504056979E-2</c:v>
                </c:pt>
                <c:pt idx="133">
                  <c:v>6.2296114518156656E-2</c:v>
                </c:pt>
                <c:pt idx="134">
                  <c:v>5.7265464700361313E-2</c:v>
                </c:pt>
                <c:pt idx="135">
                  <c:v>5.9834898908793871E-2</c:v>
                </c:pt>
                <c:pt idx="136">
                  <c:v>5.9834898908793871E-2</c:v>
                </c:pt>
                <c:pt idx="137">
                  <c:v>5.9834898908793871E-2</c:v>
                </c:pt>
                <c:pt idx="138">
                  <c:v>6.6180170945752861E-2</c:v>
                </c:pt>
                <c:pt idx="139">
                  <c:v>5.8396913354103235E-2</c:v>
                </c:pt>
                <c:pt idx="140">
                  <c:v>6.1680854048098373E-2</c:v>
                </c:pt>
                <c:pt idx="141">
                  <c:v>5.3552700791531432E-2</c:v>
                </c:pt>
                <c:pt idx="142">
                  <c:v>4.5149035774342164E-2</c:v>
                </c:pt>
                <c:pt idx="143">
                  <c:v>4.5149035774342164E-2</c:v>
                </c:pt>
                <c:pt idx="144">
                  <c:v>4.5149035774342164E-2</c:v>
                </c:pt>
                <c:pt idx="145">
                  <c:v>4.5149035774342164E-2</c:v>
                </c:pt>
                <c:pt idx="146">
                  <c:v>3.0243197484774387E-2</c:v>
                </c:pt>
                <c:pt idx="147">
                  <c:v>3.6883756321769511E-2</c:v>
                </c:pt>
                <c:pt idx="148">
                  <c:v>2.1533538444997852E-2</c:v>
                </c:pt>
                <c:pt idx="149">
                  <c:v>2.6110270259652957E-2</c:v>
                </c:pt>
                <c:pt idx="150">
                  <c:v>2.6110270259652957E-2</c:v>
                </c:pt>
                <c:pt idx="151">
                  <c:v>2.6110270259652957E-2</c:v>
                </c:pt>
                <c:pt idx="152">
                  <c:v>2.2386661669399188E-2</c:v>
                </c:pt>
                <c:pt idx="153">
                  <c:v>1.5542307563232226E-2</c:v>
                </c:pt>
                <c:pt idx="154">
                  <c:v>1.6185513693450827E-2</c:v>
                </c:pt>
                <c:pt idx="155">
                  <c:v>4.878899589246409E-2</c:v>
                </c:pt>
                <c:pt idx="156">
                  <c:v>4.2017725961724504E-2</c:v>
                </c:pt>
                <c:pt idx="157">
                  <c:v>4.2017725961724504E-2</c:v>
                </c:pt>
                <c:pt idx="158">
                  <c:v>4.2017725961724504E-2</c:v>
                </c:pt>
                <c:pt idx="159">
                  <c:v>3.8772527716533528E-2</c:v>
                </c:pt>
                <c:pt idx="160">
                  <c:v>9.405602775708094E-3</c:v>
                </c:pt>
                <c:pt idx="161">
                  <c:v>-7.9121449361969111E-3</c:v>
                </c:pt>
                <c:pt idx="162">
                  <c:v>1.0160954878570452E-2</c:v>
                </c:pt>
                <c:pt idx="163">
                  <c:v>5.6191512086379829E-3</c:v>
                </c:pt>
                <c:pt idx="164">
                  <c:v>5.6191512086379829E-3</c:v>
                </c:pt>
                <c:pt idx="165">
                  <c:v>5.6191512086379829E-3</c:v>
                </c:pt>
                <c:pt idx="166">
                  <c:v>1.8113748673869768E-2</c:v>
                </c:pt>
                <c:pt idx="167">
                  <c:v>2.1960191034600354E-2</c:v>
                </c:pt>
                <c:pt idx="168">
                  <c:v>2.6216734947697985E-2</c:v>
                </c:pt>
                <c:pt idx="169">
                  <c:v>2.5791894948979165E-2</c:v>
                </c:pt>
                <c:pt idx="170">
                  <c:v>3.0455237461595223E-2</c:v>
                </c:pt>
                <c:pt idx="171">
                  <c:v>3.0455237461595223E-2</c:v>
                </c:pt>
                <c:pt idx="172">
                  <c:v>3.0455237461595223E-2</c:v>
                </c:pt>
                <c:pt idx="173">
                  <c:v>3.4885876185190262E-2</c:v>
                </c:pt>
                <c:pt idx="174">
                  <c:v>2.6747802694122174E-2</c:v>
                </c:pt>
                <c:pt idx="175">
                  <c:v>4.5461308466608161E-2</c:v>
                </c:pt>
                <c:pt idx="176">
                  <c:v>2.2600373928464416E-2</c:v>
                </c:pt>
                <c:pt idx="177">
                  <c:v>2.8338231815910785E-2</c:v>
                </c:pt>
                <c:pt idx="178">
                  <c:v>2.8338231815910785E-2</c:v>
                </c:pt>
                <c:pt idx="179">
                  <c:v>2.8338231815910785E-2</c:v>
                </c:pt>
                <c:pt idx="180">
                  <c:v>3.288399653168244E-2</c:v>
                </c:pt>
                <c:pt idx="181">
                  <c:v>3.0349223093303752E-2</c:v>
                </c:pt>
                <c:pt idx="182">
                  <c:v>1.4467911587846986E-2</c:v>
                </c:pt>
                <c:pt idx="183">
                  <c:v>-1.1434310157709484E-2</c:v>
                </c:pt>
                <c:pt idx="184">
                  <c:v>-9.0369819508596266E-4</c:v>
                </c:pt>
                <c:pt idx="185">
                  <c:v>-9.0369819508596266E-4</c:v>
                </c:pt>
                <c:pt idx="186">
                  <c:v>-9.0369819508596266E-4</c:v>
                </c:pt>
                <c:pt idx="187">
                  <c:v>-1.7693941509787751E-2</c:v>
                </c:pt>
                <c:pt idx="188">
                  <c:v>1.2458838177251505E-2</c:v>
                </c:pt>
                <c:pt idx="189">
                  <c:v>1.6368740739152888E-2</c:v>
                </c:pt>
                <c:pt idx="190">
                  <c:v>-9.6525348424815922E-3</c:v>
                </c:pt>
                <c:pt idx="191">
                  <c:v>-3.135443654807657E-2</c:v>
                </c:pt>
                <c:pt idx="192">
                  <c:v>-3.135443654807657E-2</c:v>
                </c:pt>
                <c:pt idx="193">
                  <c:v>-3.135443654807657E-2</c:v>
                </c:pt>
                <c:pt idx="194">
                  <c:v>-7.4324682290521388E-2</c:v>
                </c:pt>
                <c:pt idx="195">
                  <c:v>-8.9991703108145887E-2</c:v>
                </c:pt>
                <c:pt idx="196">
                  <c:v>-0.13372608888860993</c:v>
                </c:pt>
                <c:pt idx="197">
                  <c:v>-0.10492916073213664</c:v>
                </c:pt>
                <c:pt idx="198">
                  <c:v>-0.11649820653998802</c:v>
                </c:pt>
                <c:pt idx="199">
                  <c:v>-0.11649820653998802</c:v>
                </c:pt>
                <c:pt idx="200">
                  <c:v>-0.11649820653998802</c:v>
                </c:pt>
                <c:pt idx="201">
                  <c:v>-0.10946756990237043</c:v>
                </c:pt>
                <c:pt idx="202">
                  <c:v>-0.10664353930567061</c:v>
                </c:pt>
                <c:pt idx="203">
                  <c:v>-0.15356649993675597</c:v>
                </c:pt>
                <c:pt idx="204">
                  <c:v>-0.12370229329467614</c:v>
                </c:pt>
                <c:pt idx="205">
                  <c:v>-0.13183871918339701</c:v>
                </c:pt>
                <c:pt idx="206">
                  <c:v>-0.13183871918339701</c:v>
                </c:pt>
                <c:pt idx="207">
                  <c:v>-0.13183871918339701</c:v>
                </c:pt>
                <c:pt idx="208">
                  <c:v>-9.4582794149462204E-2</c:v>
                </c:pt>
                <c:pt idx="209">
                  <c:v>-8.1589532917309554E-2</c:v>
                </c:pt>
                <c:pt idx="210">
                  <c:v>-4.2902467613435732E-2</c:v>
                </c:pt>
                <c:pt idx="211">
                  <c:v>-3.4086456731999434E-2</c:v>
                </c:pt>
                <c:pt idx="212">
                  <c:v>-2.2076997174262824E-2</c:v>
                </c:pt>
                <c:pt idx="213">
                  <c:v>-2.2076997174262824E-2</c:v>
                </c:pt>
                <c:pt idx="214">
                  <c:v>-2.2076997174262824E-2</c:v>
                </c:pt>
                <c:pt idx="215">
                  <c:v>-1.1991696099837692E-2</c:v>
                </c:pt>
                <c:pt idx="216">
                  <c:v>-2.8517405264306898E-2</c:v>
                </c:pt>
                <c:pt idx="217">
                  <c:v>-2.749785773348927E-2</c:v>
                </c:pt>
                <c:pt idx="218">
                  <c:v>-6.9863718664715663E-3</c:v>
                </c:pt>
                <c:pt idx="219">
                  <c:v>8.3157422384965273E-3</c:v>
                </c:pt>
                <c:pt idx="220">
                  <c:v>8.3157422384965273E-3</c:v>
                </c:pt>
                <c:pt idx="221">
                  <c:v>8.3157422384965273E-3</c:v>
                </c:pt>
                <c:pt idx="222">
                  <c:v>-1.4335210589407043E-2</c:v>
                </c:pt>
                <c:pt idx="223">
                  <c:v>-2.9991794905687104E-2</c:v>
                </c:pt>
                <c:pt idx="224">
                  <c:v>-5.2260910677259492E-2</c:v>
                </c:pt>
                <c:pt idx="225">
                  <c:v>-5.2260910677259492E-2</c:v>
                </c:pt>
                <c:pt idx="226">
                  <c:v>-5.83151888668728E-2</c:v>
                </c:pt>
                <c:pt idx="227">
                  <c:v>-5.83151888668728E-2</c:v>
                </c:pt>
                <c:pt idx="228">
                  <c:v>-5.83151888668728E-2</c:v>
                </c:pt>
                <c:pt idx="229">
                  <c:v>-5.1216878622599833E-2</c:v>
                </c:pt>
                <c:pt idx="230">
                  <c:v>-3.465661639214547E-2</c:v>
                </c:pt>
                <c:pt idx="231">
                  <c:v>-2.038884470752449E-2</c:v>
                </c:pt>
                <c:pt idx="232">
                  <c:v>-9.5410681261582173E-3</c:v>
                </c:pt>
                <c:pt idx="233">
                  <c:v>3.7811944294893568E-2</c:v>
                </c:pt>
                <c:pt idx="234">
                  <c:v>3.7811944294893568E-2</c:v>
                </c:pt>
                <c:pt idx="235">
                  <c:v>3.7811944294893568E-2</c:v>
                </c:pt>
                <c:pt idx="236">
                  <c:v>3.1320240780918045E-2</c:v>
                </c:pt>
                <c:pt idx="237">
                  <c:v>-2.4485692911548479E-3</c:v>
                </c:pt>
                <c:pt idx="238">
                  <c:v>-2.4485692911548479E-3</c:v>
                </c:pt>
                <c:pt idx="239">
                  <c:v>-4.8807359624140484E-3</c:v>
                </c:pt>
                <c:pt idx="240">
                  <c:v>-4.2902467613435379E-2</c:v>
                </c:pt>
                <c:pt idx="241">
                  <c:v>-4.2902467613435379E-2</c:v>
                </c:pt>
                <c:pt idx="242">
                  <c:v>-4.2902467613435379E-2</c:v>
                </c:pt>
                <c:pt idx="243">
                  <c:v>-3.5455848617413188E-2</c:v>
                </c:pt>
                <c:pt idx="244">
                  <c:v>-2.908439760329265E-2</c:v>
                </c:pt>
                <c:pt idx="245">
                  <c:v>-2.4219194412458289E-2</c:v>
                </c:pt>
                <c:pt idx="246">
                  <c:v>-3.4314943229210415E-2</c:v>
                </c:pt>
                <c:pt idx="247">
                  <c:v>-5.8549279567447252E-2</c:v>
                </c:pt>
                <c:pt idx="248">
                  <c:v>-5.8549279567447252E-2</c:v>
                </c:pt>
                <c:pt idx="249">
                  <c:v>-5.8549279567447252E-2</c:v>
                </c:pt>
                <c:pt idx="250">
                  <c:v>-6.6523266713654619E-2</c:v>
                </c:pt>
                <c:pt idx="251">
                  <c:v>-8.2547080699894707E-2</c:v>
                </c:pt>
                <c:pt idx="252">
                  <c:v>-8.3264328727619366E-2</c:v>
                </c:pt>
                <c:pt idx="253">
                  <c:v>-6.13555361601653E-2</c:v>
                </c:pt>
                <c:pt idx="254">
                  <c:v>-6.664126988557377E-2</c:v>
                </c:pt>
                <c:pt idx="255">
                  <c:v>-6.664126988557377E-2</c:v>
                </c:pt>
                <c:pt idx="256">
                  <c:v>-6.664126988557377E-2</c:v>
                </c:pt>
                <c:pt idx="257">
                  <c:v>-7.5631256877514347E-2</c:v>
                </c:pt>
                <c:pt idx="258">
                  <c:v>-7.5631256877514347E-2</c:v>
                </c:pt>
                <c:pt idx="259">
                  <c:v>-1.9264990908613402E-2</c:v>
                </c:pt>
                <c:pt idx="260">
                  <c:v>-9.5410681261580733E-3</c:v>
                </c:pt>
                <c:pt idx="261">
                  <c:v>3.8266332405292331E-3</c:v>
                </c:pt>
                <c:pt idx="262">
                  <c:v>3.8266332405292331E-3</c:v>
                </c:pt>
                <c:pt idx="263">
                  <c:v>3.8266332405292331E-3</c:v>
                </c:pt>
                <c:pt idx="264">
                  <c:v>1.5500583663447365E-2</c:v>
                </c:pt>
                <c:pt idx="265">
                  <c:v>1.5500583663447365E-2</c:v>
                </c:pt>
                <c:pt idx="266">
                  <c:v>-1.7133369030336416E-2</c:v>
                </c:pt>
                <c:pt idx="267">
                  <c:v>-5.0637201113578174E-2</c:v>
                </c:pt>
                <c:pt idx="268">
                  <c:v>-1.8928535508513249E-2</c:v>
                </c:pt>
                <c:pt idx="269">
                  <c:v>-1.8928535508513249E-2</c:v>
                </c:pt>
                <c:pt idx="270">
                  <c:v>-1.8928535508513249E-2</c:v>
                </c:pt>
                <c:pt idx="271">
                  <c:v>-4.4381854526163826E-3</c:v>
                </c:pt>
                <c:pt idx="272">
                  <c:v>1.9848106299440865E-4</c:v>
                </c:pt>
                <c:pt idx="273">
                  <c:v>-3.3175338022869032E-2</c:v>
                </c:pt>
                <c:pt idx="274">
                  <c:v>-2.8743475008359116E-2</c:v>
                </c:pt>
                <c:pt idx="275">
                  <c:v>-2.7497857733489072E-2</c:v>
                </c:pt>
                <c:pt idx="276">
                  <c:v>-2.7497857733489072E-2</c:v>
                </c:pt>
                <c:pt idx="277">
                  <c:v>-2.7497857733489072E-2</c:v>
                </c:pt>
                <c:pt idx="278">
                  <c:v>-5.6337065666818967E-2</c:v>
                </c:pt>
                <c:pt idx="279">
                  <c:v>-4.7644423124202924E-2</c:v>
                </c:pt>
                <c:pt idx="280">
                  <c:v>-4.7059798728715047E-2</c:v>
                </c:pt>
                <c:pt idx="281">
                  <c:v>-2.7956468151983441E-2</c:v>
                </c:pt>
                <c:pt idx="282">
                  <c:v>-1.9221737861078274E-3</c:v>
                </c:pt>
                <c:pt idx="283">
                  <c:v>-1.9221737861078274E-3</c:v>
                </c:pt>
                <c:pt idx="284">
                  <c:v>-1.9221737861078274E-3</c:v>
                </c:pt>
                <c:pt idx="285">
                  <c:v>-1.9221737861078274E-3</c:v>
                </c:pt>
                <c:pt idx="286">
                  <c:v>-1.1351969750010104E-2</c:v>
                </c:pt>
                <c:pt idx="287">
                  <c:v>-1.3723378461123235E-2</c:v>
                </c:pt>
                <c:pt idx="288">
                  <c:v>-4.3209826056337337E-2</c:v>
                </c:pt>
                <c:pt idx="289">
                  <c:v>-0.10740684364360933</c:v>
                </c:pt>
                <c:pt idx="290">
                  <c:v>-0.10740684364360933</c:v>
                </c:pt>
                <c:pt idx="291">
                  <c:v>-0.10740684364360933</c:v>
                </c:pt>
                <c:pt idx="292">
                  <c:v>-0.15053884628683575</c:v>
                </c:pt>
                <c:pt idx="293">
                  <c:v>-0.14627003442310638</c:v>
                </c:pt>
                <c:pt idx="294">
                  <c:v>-0.12595374119837804</c:v>
                </c:pt>
                <c:pt idx="295">
                  <c:v>-0.11051571887032487</c:v>
                </c:pt>
                <c:pt idx="296">
                  <c:v>-0.10790361464239991</c:v>
                </c:pt>
                <c:pt idx="297">
                  <c:v>-0.10790361464239991</c:v>
                </c:pt>
                <c:pt idx="298">
                  <c:v>-0.10790361464239991</c:v>
                </c:pt>
                <c:pt idx="299">
                  <c:v>-0.13268008168013429</c:v>
                </c:pt>
                <c:pt idx="300">
                  <c:v>-0.11801669165726081</c:v>
                </c:pt>
                <c:pt idx="301">
                  <c:v>-0.12570080076450144</c:v>
                </c:pt>
                <c:pt idx="302">
                  <c:v>-0.12456335988357516</c:v>
                </c:pt>
                <c:pt idx="303">
                  <c:v>-0.11826769567464294</c:v>
                </c:pt>
                <c:pt idx="304">
                  <c:v>-0.11826769567464294</c:v>
                </c:pt>
                <c:pt idx="305">
                  <c:v>-0.11826769567464294</c:v>
                </c:pt>
                <c:pt idx="306">
                  <c:v>-0.11701330514387946</c:v>
                </c:pt>
                <c:pt idx="307">
                  <c:v>-0.11500954742898971</c:v>
                </c:pt>
                <c:pt idx="308">
                  <c:v>-0.10430760357530006</c:v>
                </c:pt>
                <c:pt idx="309">
                  <c:v>-0.10765519829532669</c:v>
                </c:pt>
                <c:pt idx="310">
                  <c:v>-0.10356521304380162</c:v>
                </c:pt>
                <c:pt idx="311">
                  <c:v>-0.10356521304380162</c:v>
                </c:pt>
                <c:pt idx="312">
                  <c:v>-0.10356521304380162</c:v>
                </c:pt>
                <c:pt idx="313">
                  <c:v>-0.10356521304380162</c:v>
                </c:pt>
                <c:pt idx="314">
                  <c:v>-0.10765519829532667</c:v>
                </c:pt>
                <c:pt idx="315">
                  <c:v>-0.11425917220618691</c:v>
                </c:pt>
                <c:pt idx="316">
                  <c:v>-0.12988252136117495</c:v>
                </c:pt>
                <c:pt idx="317">
                  <c:v>-0.11388419563782856</c:v>
                </c:pt>
                <c:pt idx="318">
                  <c:v>-0.11388419563782856</c:v>
                </c:pt>
                <c:pt idx="319">
                  <c:v>-0.11388419563782856</c:v>
                </c:pt>
                <c:pt idx="320">
                  <c:v>-0.11051571887032478</c:v>
                </c:pt>
                <c:pt idx="321">
                  <c:v>-0.10777939875502797</c:v>
                </c:pt>
                <c:pt idx="322">
                  <c:v>-0.12153649415979782</c:v>
                </c:pt>
                <c:pt idx="323">
                  <c:v>-0.12367957723656722</c:v>
                </c:pt>
                <c:pt idx="324">
                  <c:v>-0.11288494499260382</c:v>
                </c:pt>
                <c:pt idx="325">
                  <c:v>-0.11288494499260382</c:v>
                </c:pt>
                <c:pt idx="326">
                  <c:v>-0.11288494499260382</c:v>
                </c:pt>
                <c:pt idx="327">
                  <c:v>-0.12090704868046442</c:v>
                </c:pt>
                <c:pt idx="328">
                  <c:v>-0.12785283653397361</c:v>
                </c:pt>
                <c:pt idx="329">
                  <c:v>-0.13829879139233342</c:v>
                </c:pt>
                <c:pt idx="330">
                  <c:v>-0.13637977334035531</c:v>
                </c:pt>
                <c:pt idx="331">
                  <c:v>-0.14485113705509611</c:v>
                </c:pt>
                <c:pt idx="332">
                  <c:v>-0.14485113705509611</c:v>
                </c:pt>
                <c:pt idx="333">
                  <c:v>-0.14485113705509611</c:v>
                </c:pt>
                <c:pt idx="334">
                  <c:v>-0.13842685696208021</c:v>
                </c:pt>
                <c:pt idx="335">
                  <c:v>-0.13000951355132581</c:v>
                </c:pt>
                <c:pt idx="336">
                  <c:v>-0.12759941534660607</c:v>
                </c:pt>
                <c:pt idx="337">
                  <c:v>-0.11475935978695395</c:v>
                </c:pt>
                <c:pt idx="338">
                  <c:v>-9.7522898587838719E-2</c:v>
                </c:pt>
                <c:pt idx="339">
                  <c:v>-9.7522898587838719E-2</c:v>
                </c:pt>
                <c:pt idx="340">
                  <c:v>-9.7522898587838719E-2</c:v>
                </c:pt>
                <c:pt idx="341">
                  <c:v>-0.10604199449569925</c:v>
                </c:pt>
                <c:pt idx="342">
                  <c:v>-0.10393633941658972</c:v>
                </c:pt>
                <c:pt idx="343">
                  <c:v>-0.1087735581509396</c:v>
                </c:pt>
                <c:pt idx="344">
                  <c:v>-9.8753062354733342E-2</c:v>
                </c:pt>
                <c:pt idx="345">
                  <c:v>-0.11713867341333428</c:v>
                </c:pt>
                <c:pt idx="346">
                  <c:v>-0.11713867341333428</c:v>
                </c:pt>
                <c:pt idx="347">
                  <c:v>-0.11713867341333428</c:v>
                </c:pt>
                <c:pt idx="348">
                  <c:v>-0.12027799915352506</c:v>
                </c:pt>
                <c:pt idx="349">
                  <c:v>-0.10467900562228037</c:v>
                </c:pt>
                <c:pt idx="350">
                  <c:v>-0.11551011057296665</c:v>
                </c:pt>
                <c:pt idx="351">
                  <c:v>-0.11463428943471786</c:v>
                </c:pt>
                <c:pt idx="352">
                  <c:v>-0.10678622673049715</c:v>
                </c:pt>
                <c:pt idx="353">
                  <c:v>-0.10678622673049715</c:v>
                </c:pt>
                <c:pt idx="354">
                  <c:v>-0.10678622673049715</c:v>
                </c:pt>
                <c:pt idx="355">
                  <c:v>-0.10443138893165022</c:v>
                </c:pt>
                <c:pt idx="356">
                  <c:v>-7.6477173215937028E-2</c:v>
                </c:pt>
                <c:pt idx="357">
                  <c:v>-7.6356800059005553E-2</c:v>
                </c:pt>
                <c:pt idx="358">
                  <c:v>-7.9611972021308403E-2</c:v>
                </c:pt>
                <c:pt idx="359">
                  <c:v>-7.1913148959072956E-2</c:v>
                </c:pt>
                <c:pt idx="360">
                  <c:v>-7.1913148959072956E-2</c:v>
                </c:pt>
                <c:pt idx="361">
                  <c:v>-7.1913148959072956E-2</c:v>
                </c:pt>
                <c:pt idx="362">
                  <c:v>-6.5582123810869725E-2</c:v>
                </c:pt>
                <c:pt idx="363">
                  <c:v>-8.1062123332841726E-2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33-427B-ABA2-178362B3B2AB}"/>
            </c:ext>
          </c:extLst>
        </c:ser>
        <c:ser>
          <c:idx val="1"/>
          <c:order val="1"/>
          <c:tx>
            <c:strRef>
              <c:f>Charts!$E$15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Charts!$C$16:$C$379</c:f>
              <c:numCache>
                <c:formatCode>d\-mmm\-yy</c:formatCode>
                <c:ptCount val="364"/>
                <c:pt idx="0">
                  <c:v>43201</c:v>
                </c:pt>
                <c:pt idx="1">
                  <c:v>43202</c:v>
                </c:pt>
                <c:pt idx="2">
                  <c:v>43203</c:v>
                </c:pt>
                <c:pt idx="3">
                  <c:v>43204</c:v>
                </c:pt>
                <c:pt idx="4">
                  <c:v>43205</c:v>
                </c:pt>
                <c:pt idx="5">
                  <c:v>43206</c:v>
                </c:pt>
                <c:pt idx="6">
                  <c:v>43207</c:v>
                </c:pt>
                <c:pt idx="7">
                  <c:v>43208</c:v>
                </c:pt>
                <c:pt idx="8">
                  <c:v>43209</c:v>
                </c:pt>
                <c:pt idx="9">
                  <c:v>43210</c:v>
                </c:pt>
                <c:pt idx="10">
                  <c:v>43211</c:v>
                </c:pt>
                <c:pt idx="11">
                  <c:v>43212</c:v>
                </c:pt>
                <c:pt idx="12">
                  <c:v>43213</c:v>
                </c:pt>
                <c:pt idx="13">
                  <c:v>43214</c:v>
                </c:pt>
                <c:pt idx="14">
                  <c:v>43215</c:v>
                </c:pt>
                <c:pt idx="15">
                  <c:v>43216</c:v>
                </c:pt>
                <c:pt idx="16">
                  <c:v>43217</c:v>
                </c:pt>
                <c:pt idx="17">
                  <c:v>43218</c:v>
                </c:pt>
                <c:pt idx="18">
                  <c:v>43219</c:v>
                </c:pt>
                <c:pt idx="19">
                  <c:v>43220</c:v>
                </c:pt>
                <c:pt idx="20">
                  <c:v>43221</c:v>
                </c:pt>
                <c:pt idx="21">
                  <c:v>43222</c:v>
                </c:pt>
                <c:pt idx="22">
                  <c:v>43223</c:v>
                </c:pt>
                <c:pt idx="23">
                  <c:v>43224</c:v>
                </c:pt>
                <c:pt idx="24">
                  <c:v>43225</c:v>
                </c:pt>
                <c:pt idx="25">
                  <c:v>43226</c:v>
                </c:pt>
                <c:pt idx="26">
                  <c:v>43227</c:v>
                </c:pt>
                <c:pt idx="27">
                  <c:v>43228</c:v>
                </c:pt>
                <c:pt idx="28">
                  <c:v>43229</c:v>
                </c:pt>
                <c:pt idx="29">
                  <c:v>43230</c:v>
                </c:pt>
                <c:pt idx="30">
                  <c:v>43231</c:v>
                </c:pt>
                <c:pt idx="31">
                  <c:v>43232</c:v>
                </c:pt>
                <c:pt idx="32">
                  <c:v>43233</c:v>
                </c:pt>
                <c:pt idx="33">
                  <c:v>43234</c:v>
                </c:pt>
                <c:pt idx="34">
                  <c:v>43235</c:v>
                </c:pt>
                <c:pt idx="35">
                  <c:v>43236</c:v>
                </c:pt>
                <c:pt idx="36">
                  <c:v>43237</c:v>
                </c:pt>
                <c:pt idx="37">
                  <c:v>43238</c:v>
                </c:pt>
                <c:pt idx="38">
                  <c:v>43239</c:v>
                </c:pt>
                <c:pt idx="39">
                  <c:v>43240</c:v>
                </c:pt>
                <c:pt idx="40">
                  <c:v>43241</c:v>
                </c:pt>
                <c:pt idx="41">
                  <c:v>43242</c:v>
                </c:pt>
                <c:pt idx="42">
                  <c:v>43243</c:v>
                </c:pt>
                <c:pt idx="43">
                  <c:v>43244</c:v>
                </c:pt>
                <c:pt idx="44">
                  <c:v>43245</c:v>
                </c:pt>
                <c:pt idx="45">
                  <c:v>43246</c:v>
                </c:pt>
                <c:pt idx="46">
                  <c:v>43247</c:v>
                </c:pt>
                <c:pt idx="47">
                  <c:v>43248</c:v>
                </c:pt>
                <c:pt idx="48">
                  <c:v>43249</c:v>
                </c:pt>
                <c:pt idx="49">
                  <c:v>43250</c:v>
                </c:pt>
                <c:pt idx="50">
                  <c:v>43251</c:v>
                </c:pt>
                <c:pt idx="51">
                  <c:v>43252</c:v>
                </c:pt>
                <c:pt idx="52">
                  <c:v>43253</c:v>
                </c:pt>
                <c:pt idx="53">
                  <c:v>43254</c:v>
                </c:pt>
                <c:pt idx="54">
                  <c:v>43255</c:v>
                </c:pt>
                <c:pt idx="55">
                  <c:v>43256</c:v>
                </c:pt>
                <c:pt idx="56">
                  <c:v>43257</c:v>
                </c:pt>
                <c:pt idx="57">
                  <c:v>43258</c:v>
                </c:pt>
                <c:pt idx="58">
                  <c:v>43259</c:v>
                </c:pt>
                <c:pt idx="59">
                  <c:v>43260</c:v>
                </c:pt>
                <c:pt idx="60">
                  <c:v>43261</c:v>
                </c:pt>
                <c:pt idx="61">
                  <c:v>43262</c:v>
                </c:pt>
                <c:pt idx="62">
                  <c:v>43263</c:v>
                </c:pt>
                <c:pt idx="63">
                  <c:v>43264</c:v>
                </c:pt>
                <c:pt idx="64">
                  <c:v>43265</c:v>
                </c:pt>
                <c:pt idx="65">
                  <c:v>43266</c:v>
                </c:pt>
                <c:pt idx="66">
                  <c:v>43267</c:v>
                </c:pt>
                <c:pt idx="67">
                  <c:v>43268</c:v>
                </c:pt>
                <c:pt idx="68">
                  <c:v>43269</c:v>
                </c:pt>
                <c:pt idx="69">
                  <c:v>43270</c:v>
                </c:pt>
                <c:pt idx="70">
                  <c:v>43271</c:v>
                </c:pt>
                <c:pt idx="71">
                  <c:v>43272</c:v>
                </c:pt>
                <c:pt idx="72">
                  <c:v>43273</c:v>
                </c:pt>
                <c:pt idx="73">
                  <c:v>43274</c:v>
                </c:pt>
                <c:pt idx="74">
                  <c:v>43275</c:v>
                </c:pt>
                <c:pt idx="75">
                  <c:v>43276</c:v>
                </c:pt>
                <c:pt idx="76">
                  <c:v>43277</c:v>
                </c:pt>
                <c:pt idx="77">
                  <c:v>43278</c:v>
                </c:pt>
                <c:pt idx="78">
                  <c:v>43279</c:v>
                </c:pt>
                <c:pt idx="79">
                  <c:v>43280</c:v>
                </c:pt>
                <c:pt idx="80">
                  <c:v>43281</c:v>
                </c:pt>
                <c:pt idx="81">
                  <c:v>43282</c:v>
                </c:pt>
                <c:pt idx="82">
                  <c:v>43283</c:v>
                </c:pt>
                <c:pt idx="83">
                  <c:v>43284</c:v>
                </c:pt>
                <c:pt idx="84">
                  <c:v>43285</c:v>
                </c:pt>
                <c:pt idx="85">
                  <c:v>43286</c:v>
                </c:pt>
                <c:pt idx="86">
                  <c:v>43287</c:v>
                </c:pt>
                <c:pt idx="87">
                  <c:v>43288</c:v>
                </c:pt>
                <c:pt idx="88">
                  <c:v>43289</c:v>
                </c:pt>
                <c:pt idx="89">
                  <c:v>43290</c:v>
                </c:pt>
                <c:pt idx="90">
                  <c:v>43291</c:v>
                </c:pt>
                <c:pt idx="91">
                  <c:v>43292</c:v>
                </c:pt>
                <c:pt idx="92">
                  <c:v>43293</c:v>
                </c:pt>
                <c:pt idx="93">
                  <c:v>43294</c:v>
                </c:pt>
                <c:pt idx="94">
                  <c:v>43295</c:v>
                </c:pt>
                <c:pt idx="95">
                  <c:v>43296</c:v>
                </c:pt>
                <c:pt idx="96">
                  <c:v>43297</c:v>
                </c:pt>
                <c:pt idx="97">
                  <c:v>43298</c:v>
                </c:pt>
                <c:pt idx="98">
                  <c:v>43299</c:v>
                </c:pt>
                <c:pt idx="99">
                  <c:v>43300</c:v>
                </c:pt>
                <c:pt idx="100">
                  <c:v>43301</c:v>
                </c:pt>
                <c:pt idx="101">
                  <c:v>43302</c:v>
                </c:pt>
                <c:pt idx="102">
                  <c:v>43303</c:v>
                </c:pt>
                <c:pt idx="103">
                  <c:v>43304</c:v>
                </c:pt>
                <c:pt idx="104">
                  <c:v>43305</c:v>
                </c:pt>
                <c:pt idx="105">
                  <c:v>43306</c:v>
                </c:pt>
                <c:pt idx="106">
                  <c:v>43307</c:v>
                </c:pt>
                <c:pt idx="107">
                  <c:v>43308</c:v>
                </c:pt>
                <c:pt idx="108">
                  <c:v>43309</c:v>
                </c:pt>
                <c:pt idx="109">
                  <c:v>43310</c:v>
                </c:pt>
                <c:pt idx="110">
                  <c:v>43311</c:v>
                </c:pt>
                <c:pt idx="111">
                  <c:v>43312</c:v>
                </c:pt>
                <c:pt idx="112">
                  <c:v>43313</c:v>
                </c:pt>
                <c:pt idx="113">
                  <c:v>43314</c:v>
                </c:pt>
                <c:pt idx="114">
                  <c:v>43315</c:v>
                </c:pt>
                <c:pt idx="115">
                  <c:v>43316</c:v>
                </c:pt>
                <c:pt idx="116">
                  <c:v>43317</c:v>
                </c:pt>
                <c:pt idx="117">
                  <c:v>43318</c:v>
                </c:pt>
                <c:pt idx="118">
                  <c:v>43319</c:v>
                </c:pt>
                <c:pt idx="119">
                  <c:v>43320</c:v>
                </c:pt>
                <c:pt idx="120">
                  <c:v>43321</c:v>
                </c:pt>
                <c:pt idx="121">
                  <c:v>43322</c:v>
                </c:pt>
                <c:pt idx="122">
                  <c:v>43323</c:v>
                </c:pt>
                <c:pt idx="123">
                  <c:v>43324</c:v>
                </c:pt>
                <c:pt idx="124">
                  <c:v>43325</c:v>
                </c:pt>
                <c:pt idx="125">
                  <c:v>43326</c:v>
                </c:pt>
                <c:pt idx="126">
                  <c:v>43327</c:v>
                </c:pt>
                <c:pt idx="127">
                  <c:v>43328</c:v>
                </c:pt>
                <c:pt idx="128">
                  <c:v>43329</c:v>
                </c:pt>
                <c:pt idx="129">
                  <c:v>43330</c:v>
                </c:pt>
                <c:pt idx="130">
                  <c:v>43331</c:v>
                </c:pt>
                <c:pt idx="131">
                  <c:v>43332</c:v>
                </c:pt>
                <c:pt idx="132">
                  <c:v>43333</c:v>
                </c:pt>
                <c:pt idx="133">
                  <c:v>43334</c:v>
                </c:pt>
                <c:pt idx="134">
                  <c:v>43335</c:v>
                </c:pt>
                <c:pt idx="135">
                  <c:v>43336</c:v>
                </c:pt>
                <c:pt idx="136">
                  <c:v>43337</c:v>
                </c:pt>
                <c:pt idx="137">
                  <c:v>43338</c:v>
                </c:pt>
                <c:pt idx="138">
                  <c:v>43339</c:v>
                </c:pt>
                <c:pt idx="139">
                  <c:v>43340</c:v>
                </c:pt>
                <c:pt idx="140">
                  <c:v>43341</c:v>
                </c:pt>
                <c:pt idx="141">
                  <c:v>43342</c:v>
                </c:pt>
                <c:pt idx="142">
                  <c:v>43343</c:v>
                </c:pt>
                <c:pt idx="143">
                  <c:v>43344</c:v>
                </c:pt>
                <c:pt idx="144">
                  <c:v>43345</c:v>
                </c:pt>
                <c:pt idx="145">
                  <c:v>43346</c:v>
                </c:pt>
                <c:pt idx="146">
                  <c:v>43347</c:v>
                </c:pt>
                <c:pt idx="147">
                  <c:v>43348</c:v>
                </c:pt>
                <c:pt idx="148">
                  <c:v>43349</c:v>
                </c:pt>
                <c:pt idx="149">
                  <c:v>43350</c:v>
                </c:pt>
                <c:pt idx="150">
                  <c:v>43351</c:v>
                </c:pt>
                <c:pt idx="151">
                  <c:v>43352</c:v>
                </c:pt>
                <c:pt idx="152">
                  <c:v>43353</c:v>
                </c:pt>
                <c:pt idx="153">
                  <c:v>43354</c:v>
                </c:pt>
                <c:pt idx="154">
                  <c:v>43355</c:v>
                </c:pt>
                <c:pt idx="155">
                  <c:v>43356</c:v>
                </c:pt>
                <c:pt idx="156">
                  <c:v>43357</c:v>
                </c:pt>
                <c:pt idx="157">
                  <c:v>43358</c:v>
                </c:pt>
                <c:pt idx="158">
                  <c:v>43359</c:v>
                </c:pt>
                <c:pt idx="159">
                  <c:v>43360</c:v>
                </c:pt>
                <c:pt idx="160">
                  <c:v>43361</c:v>
                </c:pt>
                <c:pt idx="161">
                  <c:v>43362</c:v>
                </c:pt>
                <c:pt idx="162">
                  <c:v>43363</c:v>
                </c:pt>
                <c:pt idx="163">
                  <c:v>43364</c:v>
                </c:pt>
                <c:pt idx="164">
                  <c:v>43365</c:v>
                </c:pt>
                <c:pt idx="165">
                  <c:v>43366</c:v>
                </c:pt>
                <c:pt idx="166">
                  <c:v>43367</c:v>
                </c:pt>
                <c:pt idx="167">
                  <c:v>43368</c:v>
                </c:pt>
                <c:pt idx="168">
                  <c:v>43369</c:v>
                </c:pt>
                <c:pt idx="169">
                  <c:v>43370</c:v>
                </c:pt>
                <c:pt idx="170">
                  <c:v>43371</c:v>
                </c:pt>
                <c:pt idx="171">
                  <c:v>43372</c:v>
                </c:pt>
                <c:pt idx="172">
                  <c:v>43373</c:v>
                </c:pt>
                <c:pt idx="173">
                  <c:v>43374</c:v>
                </c:pt>
                <c:pt idx="174">
                  <c:v>43375</c:v>
                </c:pt>
                <c:pt idx="175">
                  <c:v>43376</c:v>
                </c:pt>
                <c:pt idx="176">
                  <c:v>43377</c:v>
                </c:pt>
                <c:pt idx="177">
                  <c:v>43378</c:v>
                </c:pt>
                <c:pt idx="178">
                  <c:v>43379</c:v>
                </c:pt>
                <c:pt idx="179">
                  <c:v>43380</c:v>
                </c:pt>
                <c:pt idx="180">
                  <c:v>43381</c:v>
                </c:pt>
                <c:pt idx="181">
                  <c:v>43382</c:v>
                </c:pt>
                <c:pt idx="182">
                  <c:v>43383</c:v>
                </c:pt>
                <c:pt idx="183">
                  <c:v>43384</c:v>
                </c:pt>
                <c:pt idx="184">
                  <c:v>43385</c:v>
                </c:pt>
                <c:pt idx="185">
                  <c:v>43386</c:v>
                </c:pt>
                <c:pt idx="186">
                  <c:v>43387</c:v>
                </c:pt>
                <c:pt idx="187">
                  <c:v>43388</c:v>
                </c:pt>
                <c:pt idx="188">
                  <c:v>43389</c:v>
                </c:pt>
                <c:pt idx="189">
                  <c:v>43390</c:v>
                </c:pt>
                <c:pt idx="190">
                  <c:v>43391</c:v>
                </c:pt>
                <c:pt idx="191">
                  <c:v>43392</c:v>
                </c:pt>
                <c:pt idx="192">
                  <c:v>43393</c:v>
                </c:pt>
                <c:pt idx="193">
                  <c:v>43394</c:v>
                </c:pt>
                <c:pt idx="194">
                  <c:v>43395</c:v>
                </c:pt>
                <c:pt idx="195">
                  <c:v>43396</c:v>
                </c:pt>
                <c:pt idx="196">
                  <c:v>43397</c:v>
                </c:pt>
                <c:pt idx="197">
                  <c:v>43398</c:v>
                </c:pt>
                <c:pt idx="198">
                  <c:v>43399</c:v>
                </c:pt>
                <c:pt idx="199">
                  <c:v>43400</c:v>
                </c:pt>
                <c:pt idx="200">
                  <c:v>43401</c:v>
                </c:pt>
                <c:pt idx="201">
                  <c:v>43402</c:v>
                </c:pt>
                <c:pt idx="202">
                  <c:v>43403</c:v>
                </c:pt>
                <c:pt idx="203">
                  <c:v>43404</c:v>
                </c:pt>
                <c:pt idx="204">
                  <c:v>43405</c:v>
                </c:pt>
                <c:pt idx="205">
                  <c:v>43406</c:v>
                </c:pt>
                <c:pt idx="206">
                  <c:v>43407</c:v>
                </c:pt>
                <c:pt idx="207">
                  <c:v>43408</c:v>
                </c:pt>
                <c:pt idx="208">
                  <c:v>43409</c:v>
                </c:pt>
                <c:pt idx="209">
                  <c:v>43410</c:v>
                </c:pt>
                <c:pt idx="210">
                  <c:v>43411</c:v>
                </c:pt>
                <c:pt idx="211">
                  <c:v>43412</c:v>
                </c:pt>
                <c:pt idx="212">
                  <c:v>43413</c:v>
                </c:pt>
                <c:pt idx="213">
                  <c:v>43414</c:v>
                </c:pt>
                <c:pt idx="214">
                  <c:v>43415</c:v>
                </c:pt>
                <c:pt idx="215">
                  <c:v>43416</c:v>
                </c:pt>
                <c:pt idx="216">
                  <c:v>43417</c:v>
                </c:pt>
                <c:pt idx="217">
                  <c:v>43418</c:v>
                </c:pt>
                <c:pt idx="218">
                  <c:v>43419</c:v>
                </c:pt>
                <c:pt idx="219">
                  <c:v>43420</c:v>
                </c:pt>
                <c:pt idx="220">
                  <c:v>43421</c:v>
                </c:pt>
                <c:pt idx="221">
                  <c:v>43422</c:v>
                </c:pt>
                <c:pt idx="222">
                  <c:v>43423</c:v>
                </c:pt>
                <c:pt idx="223">
                  <c:v>43424</c:v>
                </c:pt>
                <c:pt idx="224">
                  <c:v>43425</c:v>
                </c:pt>
                <c:pt idx="225">
                  <c:v>43426</c:v>
                </c:pt>
                <c:pt idx="226">
                  <c:v>43427</c:v>
                </c:pt>
                <c:pt idx="227">
                  <c:v>43428</c:v>
                </c:pt>
                <c:pt idx="228">
                  <c:v>43429</c:v>
                </c:pt>
                <c:pt idx="229">
                  <c:v>43430</c:v>
                </c:pt>
                <c:pt idx="230">
                  <c:v>43431</c:v>
                </c:pt>
                <c:pt idx="231">
                  <c:v>43432</c:v>
                </c:pt>
                <c:pt idx="232">
                  <c:v>43433</c:v>
                </c:pt>
                <c:pt idx="233">
                  <c:v>43434</c:v>
                </c:pt>
                <c:pt idx="234">
                  <c:v>43435</c:v>
                </c:pt>
                <c:pt idx="235">
                  <c:v>43436</c:v>
                </c:pt>
                <c:pt idx="236">
                  <c:v>43437</c:v>
                </c:pt>
                <c:pt idx="237">
                  <c:v>43438</c:v>
                </c:pt>
                <c:pt idx="238">
                  <c:v>43439</c:v>
                </c:pt>
                <c:pt idx="239">
                  <c:v>43440</c:v>
                </c:pt>
                <c:pt idx="240">
                  <c:v>43441</c:v>
                </c:pt>
                <c:pt idx="241">
                  <c:v>43442</c:v>
                </c:pt>
                <c:pt idx="242">
                  <c:v>43443</c:v>
                </c:pt>
                <c:pt idx="243">
                  <c:v>43444</c:v>
                </c:pt>
                <c:pt idx="244">
                  <c:v>43445</c:v>
                </c:pt>
                <c:pt idx="245">
                  <c:v>43446</c:v>
                </c:pt>
                <c:pt idx="246">
                  <c:v>43447</c:v>
                </c:pt>
                <c:pt idx="247">
                  <c:v>43448</c:v>
                </c:pt>
                <c:pt idx="248">
                  <c:v>43449</c:v>
                </c:pt>
                <c:pt idx="249">
                  <c:v>43450</c:v>
                </c:pt>
                <c:pt idx="250">
                  <c:v>43451</c:v>
                </c:pt>
                <c:pt idx="251">
                  <c:v>43452</c:v>
                </c:pt>
                <c:pt idx="252">
                  <c:v>43453</c:v>
                </c:pt>
                <c:pt idx="253">
                  <c:v>43454</c:v>
                </c:pt>
                <c:pt idx="254">
                  <c:v>43455</c:v>
                </c:pt>
                <c:pt idx="255">
                  <c:v>43456</c:v>
                </c:pt>
                <c:pt idx="256">
                  <c:v>43457</c:v>
                </c:pt>
                <c:pt idx="257">
                  <c:v>43458</c:v>
                </c:pt>
                <c:pt idx="258">
                  <c:v>43459</c:v>
                </c:pt>
                <c:pt idx="259">
                  <c:v>43460</c:v>
                </c:pt>
                <c:pt idx="260">
                  <c:v>43461</c:v>
                </c:pt>
                <c:pt idx="261">
                  <c:v>43462</c:v>
                </c:pt>
                <c:pt idx="262">
                  <c:v>43463</c:v>
                </c:pt>
                <c:pt idx="263">
                  <c:v>43464</c:v>
                </c:pt>
                <c:pt idx="264">
                  <c:v>43465</c:v>
                </c:pt>
                <c:pt idx="265">
                  <c:v>43466</c:v>
                </c:pt>
                <c:pt idx="266">
                  <c:v>43467</c:v>
                </c:pt>
                <c:pt idx="267">
                  <c:v>43468</c:v>
                </c:pt>
                <c:pt idx="268">
                  <c:v>43469</c:v>
                </c:pt>
                <c:pt idx="269">
                  <c:v>43470</c:v>
                </c:pt>
                <c:pt idx="270">
                  <c:v>43471</c:v>
                </c:pt>
                <c:pt idx="271">
                  <c:v>43472</c:v>
                </c:pt>
                <c:pt idx="272">
                  <c:v>43473</c:v>
                </c:pt>
                <c:pt idx="273">
                  <c:v>43474</c:v>
                </c:pt>
                <c:pt idx="274">
                  <c:v>43475</c:v>
                </c:pt>
                <c:pt idx="275">
                  <c:v>43476</c:v>
                </c:pt>
                <c:pt idx="276">
                  <c:v>43477</c:v>
                </c:pt>
                <c:pt idx="277">
                  <c:v>43478</c:v>
                </c:pt>
                <c:pt idx="278">
                  <c:v>43479</c:v>
                </c:pt>
                <c:pt idx="279">
                  <c:v>43480</c:v>
                </c:pt>
                <c:pt idx="280">
                  <c:v>43481</c:v>
                </c:pt>
                <c:pt idx="281">
                  <c:v>43482</c:v>
                </c:pt>
                <c:pt idx="282">
                  <c:v>43483</c:v>
                </c:pt>
                <c:pt idx="283">
                  <c:v>43484</c:v>
                </c:pt>
                <c:pt idx="284">
                  <c:v>43485</c:v>
                </c:pt>
                <c:pt idx="285">
                  <c:v>43486</c:v>
                </c:pt>
                <c:pt idx="286">
                  <c:v>43487</c:v>
                </c:pt>
                <c:pt idx="287">
                  <c:v>43488</c:v>
                </c:pt>
                <c:pt idx="288">
                  <c:v>43489</c:v>
                </c:pt>
                <c:pt idx="289">
                  <c:v>43490</c:v>
                </c:pt>
                <c:pt idx="290">
                  <c:v>43491</c:v>
                </c:pt>
                <c:pt idx="291">
                  <c:v>43492</c:v>
                </c:pt>
                <c:pt idx="292">
                  <c:v>43493</c:v>
                </c:pt>
                <c:pt idx="293">
                  <c:v>43494</c:v>
                </c:pt>
                <c:pt idx="294">
                  <c:v>43495</c:v>
                </c:pt>
                <c:pt idx="295">
                  <c:v>43496</c:v>
                </c:pt>
                <c:pt idx="296">
                  <c:v>43497</c:v>
                </c:pt>
                <c:pt idx="297">
                  <c:v>43498</c:v>
                </c:pt>
                <c:pt idx="298">
                  <c:v>43499</c:v>
                </c:pt>
                <c:pt idx="299">
                  <c:v>43500</c:v>
                </c:pt>
                <c:pt idx="300">
                  <c:v>43501</c:v>
                </c:pt>
                <c:pt idx="301">
                  <c:v>43502</c:v>
                </c:pt>
                <c:pt idx="302">
                  <c:v>43503</c:v>
                </c:pt>
                <c:pt idx="303">
                  <c:v>43504</c:v>
                </c:pt>
                <c:pt idx="304">
                  <c:v>43505</c:v>
                </c:pt>
                <c:pt idx="305">
                  <c:v>43506</c:v>
                </c:pt>
                <c:pt idx="306">
                  <c:v>43507</c:v>
                </c:pt>
                <c:pt idx="307">
                  <c:v>43508</c:v>
                </c:pt>
                <c:pt idx="308">
                  <c:v>43509</c:v>
                </c:pt>
                <c:pt idx="309">
                  <c:v>43510</c:v>
                </c:pt>
                <c:pt idx="310">
                  <c:v>43511</c:v>
                </c:pt>
                <c:pt idx="311">
                  <c:v>43512</c:v>
                </c:pt>
                <c:pt idx="312">
                  <c:v>43513</c:v>
                </c:pt>
                <c:pt idx="313">
                  <c:v>43514</c:v>
                </c:pt>
                <c:pt idx="314">
                  <c:v>43515</c:v>
                </c:pt>
                <c:pt idx="315">
                  <c:v>43516</c:v>
                </c:pt>
                <c:pt idx="316">
                  <c:v>43517</c:v>
                </c:pt>
                <c:pt idx="317">
                  <c:v>43518</c:v>
                </c:pt>
                <c:pt idx="318">
                  <c:v>43519</c:v>
                </c:pt>
                <c:pt idx="319">
                  <c:v>43520</c:v>
                </c:pt>
                <c:pt idx="320">
                  <c:v>43521</c:v>
                </c:pt>
                <c:pt idx="321">
                  <c:v>43522</c:v>
                </c:pt>
                <c:pt idx="322">
                  <c:v>43523</c:v>
                </c:pt>
                <c:pt idx="323">
                  <c:v>43524</c:v>
                </c:pt>
                <c:pt idx="324">
                  <c:v>43525</c:v>
                </c:pt>
                <c:pt idx="325">
                  <c:v>43526</c:v>
                </c:pt>
                <c:pt idx="326">
                  <c:v>43527</c:v>
                </c:pt>
                <c:pt idx="327">
                  <c:v>43528</c:v>
                </c:pt>
                <c:pt idx="328">
                  <c:v>43529</c:v>
                </c:pt>
                <c:pt idx="329">
                  <c:v>43530</c:v>
                </c:pt>
                <c:pt idx="330">
                  <c:v>43531</c:v>
                </c:pt>
                <c:pt idx="331">
                  <c:v>43532</c:v>
                </c:pt>
                <c:pt idx="332">
                  <c:v>43533</c:v>
                </c:pt>
                <c:pt idx="333">
                  <c:v>43534</c:v>
                </c:pt>
                <c:pt idx="334">
                  <c:v>43535</c:v>
                </c:pt>
                <c:pt idx="335">
                  <c:v>43536</c:v>
                </c:pt>
                <c:pt idx="336">
                  <c:v>43537</c:v>
                </c:pt>
                <c:pt idx="337">
                  <c:v>43538</c:v>
                </c:pt>
                <c:pt idx="338">
                  <c:v>43539</c:v>
                </c:pt>
                <c:pt idx="339">
                  <c:v>43540</c:v>
                </c:pt>
                <c:pt idx="340">
                  <c:v>43541</c:v>
                </c:pt>
                <c:pt idx="341">
                  <c:v>43542</c:v>
                </c:pt>
                <c:pt idx="342">
                  <c:v>43543</c:v>
                </c:pt>
                <c:pt idx="343">
                  <c:v>43544</c:v>
                </c:pt>
                <c:pt idx="344">
                  <c:v>43545</c:v>
                </c:pt>
                <c:pt idx="345">
                  <c:v>43546</c:v>
                </c:pt>
                <c:pt idx="346">
                  <c:v>43547</c:v>
                </c:pt>
                <c:pt idx="347">
                  <c:v>43548</c:v>
                </c:pt>
                <c:pt idx="348">
                  <c:v>43549</c:v>
                </c:pt>
                <c:pt idx="349">
                  <c:v>43550</c:v>
                </c:pt>
                <c:pt idx="350">
                  <c:v>43551</c:v>
                </c:pt>
                <c:pt idx="351">
                  <c:v>43552</c:v>
                </c:pt>
                <c:pt idx="352">
                  <c:v>43553</c:v>
                </c:pt>
                <c:pt idx="353">
                  <c:v>43554</c:v>
                </c:pt>
                <c:pt idx="354">
                  <c:v>43555</c:v>
                </c:pt>
                <c:pt idx="355">
                  <c:v>43556</c:v>
                </c:pt>
                <c:pt idx="356">
                  <c:v>43557</c:v>
                </c:pt>
                <c:pt idx="357">
                  <c:v>43558</c:v>
                </c:pt>
                <c:pt idx="358">
                  <c:v>43559</c:v>
                </c:pt>
                <c:pt idx="359">
                  <c:v>43560</c:v>
                </c:pt>
                <c:pt idx="360">
                  <c:v>43561</c:v>
                </c:pt>
                <c:pt idx="361">
                  <c:v>43562</c:v>
                </c:pt>
                <c:pt idx="362">
                  <c:v>43563</c:v>
                </c:pt>
                <c:pt idx="363">
                  <c:v>43564</c:v>
                </c:pt>
              </c:numCache>
            </c:numRef>
          </c:cat>
          <c:val>
            <c:numRef>
              <c:f>Charts!$E$16:$E$379</c:f>
              <c:numCache>
                <c:formatCode>0.00%;\(0.00\)%</c:formatCode>
                <c:ptCount val="364"/>
                <c:pt idx="0" formatCode="0.00%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33-427B-ABA2-178362B3B2AB}"/>
            </c:ext>
          </c:extLst>
        </c:ser>
        <c:ser>
          <c:idx val="2"/>
          <c:order val="2"/>
          <c:tx>
            <c:strRef>
              <c:f>Charts!$F$15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Charts!$C$16:$C$379</c:f>
              <c:numCache>
                <c:formatCode>d\-mmm\-yy</c:formatCode>
                <c:ptCount val="364"/>
                <c:pt idx="0">
                  <c:v>43201</c:v>
                </c:pt>
                <c:pt idx="1">
                  <c:v>43202</c:v>
                </c:pt>
                <c:pt idx="2">
                  <c:v>43203</c:v>
                </c:pt>
                <c:pt idx="3">
                  <c:v>43204</c:v>
                </c:pt>
                <c:pt idx="4">
                  <c:v>43205</c:v>
                </c:pt>
                <c:pt idx="5">
                  <c:v>43206</c:v>
                </c:pt>
                <c:pt idx="6">
                  <c:v>43207</c:v>
                </c:pt>
                <c:pt idx="7">
                  <c:v>43208</c:v>
                </c:pt>
                <c:pt idx="8">
                  <c:v>43209</c:v>
                </c:pt>
                <c:pt idx="9">
                  <c:v>43210</c:v>
                </c:pt>
                <c:pt idx="10">
                  <c:v>43211</c:v>
                </c:pt>
                <c:pt idx="11">
                  <c:v>43212</c:v>
                </c:pt>
                <c:pt idx="12">
                  <c:v>43213</c:v>
                </c:pt>
                <c:pt idx="13">
                  <c:v>43214</c:v>
                </c:pt>
                <c:pt idx="14">
                  <c:v>43215</c:v>
                </c:pt>
                <c:pt idx="15">
                  <c:v>43216</c:v>
                </c:pt>
                <c:pt idx="16">
                  <c:v>43217</c:v>
                </c:pt>
                <c:pt idx="17">
                  <c:v>43218</c:v>
                </c:pt>
                <c:pt idx="18">
                  <c:v>43219</c:v>
                </c:pt>
                <c:pt idx="19">
                  <c:v>43220</c:v>
                </c:pt>
                <c:pt idx="20">
                  <c:v>43221</c:v>
                </c:pt>
                <c:pt idx="21">
                  <c:v>43222</c:v>
                </c:pt>
                <c:pt idx="22">
                  <c:v>43223</c:v>
                </c:pt>
                <c:pt idx="23">
                  <c:v>43224</c:v>
                </c:pt>
                <c:pt idx="24">
                  <c:v>43225</c:v>
                </c:pt>
                <c:pt idx="25">
                  <c:v>43226</c:v>
                </c:pt>
                <c:pt idx="26">
                  <c:v>43227</c:v>
                </c:pt>
                <c:pt idx="27">
                  <c:v>43228</c:v>
                </c:pt>
                <c:pt idx="28">
                  <c:v>43229</c:v>
                </c:pt>
                <c:pt idx="29">
                  <c:v>43230</c:v>
                </c:pt>
                <c:pt idx="30">
                  <c:v>43231</c:v>
                </c:pt>
                <c:pt idx="31">
                  <c:v>43232</c:v>
                </c:pt>
                <c:pt idx="32">
                  <c:v>43233</c:v>
                </c:pt>
                <c:pt idx="33">
                  <c:v>43234</c:v>
                </c:pt>
                <c:pt idx="34">
                  <c:v>43235</c:v>
                </c:pt>
                <c:pt idx="35">
                  <c:v>43236</c:v>
                </c:pt>
                <c:pt idx="36">
                  <c:v>43237</c:v>
                </c:pt>
                <c:pt idx="37">
                  <c:v>43238</c:v>
                </c:pt>
                <c:pt idx="38">
                  <c:v>43239</c:v>
                </c:pt>
                <c:pt idx="39">
                  <c:v>43240</c:v>
                </c:pt>
                <c:pt idx="40">
                  <c:v>43241</c:v>
                </c:pt>
                <c:pt idx="41">
                  <c:v>43242</c:v>
                </c:pt>
                <c:pt idx="42">
                  <c:v>43243</c:v>
                </c:pt>
                <c:pt idx="43">
                  <c:v>43244</c:v>
                </c:pt>
                <c:pt idx="44">
                  <c:v>43245</c:v>
                </c:pt>
                <c:pt idx="45">
                  <c:v>43246</c:v>
                </c:pt>
                <c:pt idx="46">
                  <c:v>43247</c:v>
                </c:pt>
                <c:pt idx="47">
                  <c:v>43248</c:v>
                </c:pt>
                <c:pt idx="48">
                  <c:v>43249</c:v>
                </c:pt>
                <c:pt idx="49">
                  <c:v>43250</c:v>
                </c:pt>
                <c:pt idx="50">
                  <c:v>43251</c:v>
                </c:pt>
                <c:pt idx="51">
                  <c:v>43252</c:v>
                </c:pt>
                <c:pt idx="52">
                  <c:v>43253</c:v>
                </c:pt>
                <c:pt idx="53">
                  <c:v>43254</c:v>
                </c:pt>
                <c:pt idx="54">
                  <c:v>43255</c:v>
                </c:pt>
                <c:pt idx="55">
                  <c:v>43256</c:v>
                </c:pt>
                <c:pt idx="56">
                  <c:v>43257</c:v>
                </c:pt>
                <c:pt idx="57">
                  <c:v>43258</c:v>
                </c:pt>
                <c:pt idx="58">
                  <c:v>43259</c:v>
                </c:pt>
                <c:pt idx="59">
                  <c:v>43260</c:v>
                </c:pt>
                <c:pt idx="60">
                  <c:v>43261</c:v>
                </c:pt>
                <c:pt idx="61">
                  <c:v>43262</c:v>
                </c:pt>
                <c:pt idx="62">
                  <c:v>43263</c:v>
                </c:pt>
                <c:pt idx="63">
                  <c:v>43264</c:v>
                </c:pt>
                <c:pt idx="64">
                  <c:v>43265</c:v>
                </c:pt>
                <c:pt idx="65">
                  <c:v>43266</c:v>
                </c:pt>
                <c:pt idx="66">
                  <c:v>43267</c:v>
                </c:pt>
                <c:pt idx="67">
                  <c:v>43268</c:v>
                </c:pt>
                <c:pt idx="68">
                  <c:v>43269</c:v>
                </c:pt>
                <c:pt idx="69">
                  <c:v>43270</c:v>
                </c:pt>
                <c:pt idx="70">
                  <c:v>43271</c:v>
                </c:pt>
                <c:pt idx="71">
                  <c:v>43272</c:v>
                </c:pt>
                <c:pt idx="72">
                  <c:v>43273</c:v>
                </c:pt>
                <c:pt idx="73">
                  <c:v>43274</c:v>
                </c:pt>
                <c:pt idx="74">
                  <c:v>43275</c:v>
                </c:pt>
                <c:pt idx="75">
                  <c:v>43276</c:v>
                </c:pt>
                <c:pt idx="76">
                  <c:v>43277</c:v>
                </c:pt>
                <c:pt idx="77">
                  <c:v>43278</c:v>
                </c:pt>
                <c:pt idx="78">
                  <c:v>43279</c:v>
                </c:pt>
                <c:pt idx="79">
                  <c:v>43280</c:v>
                </c:pt>
                <c:pt idx="80">
                  <c:v>43281</c:v>
                </c:pt>
                <c:pt idx="81">
                  <c:v>43282</c:v>
                </c:pt>
                <c:pt idx="82">
                  <c:v>43283</c:v>
                </c:pt>
                <c:pt idx="83">
                  <c:v>43284</c:v>
                </c:pt>
                <c:pt idx="84">
                  <c:v>43285</c:v>
                </c:pt>
                <c:pt idx="85">
                  <c:v>43286</c:v>
                </c:pt>
                <c:pt idx="86">
                  <c:v>43287</c:v>
                </c:pt>
                <c:pt idx="87">
                  <c:v>43288</c:v>
                </c:pt>
                <c:pt idx="88">
                  <c:v>43289</c:v>
                </c:pt>
                <c:pt idx="89">
                  <c:v>43290</c:v>
                </c:pt>
                <c:pt idx="90">
                  <c:v>43291</c:v>
                </c:pt>
                <c:pt idx="91">
                  <c:v>43292</c:v>
                </c:pt>
                <c:pt idx="92">
                  <c:v>43293</c:v>
                </c:pt>
                <c:pt idx="93">
                  <c:v>43294</c:v>
                </c:pt>
                <c:pt idx="94">
                  <c:v>43295</c:v>
                </c:pt>
                <c:pt idx="95">
                  <c:v>43296</c:v>
                </c:pt>
                <c:pt idx="96">
                  <c:v>43297</c:v>
                </c:pt>
                <c:pt idx="97">
                  <c:v>43298</c:v>
                </c:pt>
                <c:pt idx="98">
                  <c:v>43299</c:v>
                </c:pt>
                <c:pt idx="99">
                  <c:v>43300</c:v>
                </c:pt>
                <c:pt idx="100">
                  <c:v>43301</c:v>
                </c:pt>
                <c:pt idx="101">
                  <c:v>43302</c:v>
                </c:pt>
                <c:pt idx="102">
                  <c:v>43303</c:v>
                </c:pt>
                <c:pt idx="103">
                  <c:v>43304</c:v>
                </c:pt>
                <c:pt idx="104">
                  <c:v>43305</c:v>
                </c:pt>
                <c:pt idx="105">
                  <c:v>43306</c:v>
                </c:pt>
                <c:pt idx="106">
                  <c:v>43307</c:v>
                </c:pt>
                <c:pt idx="107">
                  <c:v>43308</c:v>
                </c:pt>
                <c:pt idx="108">
                  <c:v>43309</c:v>
                </c:pt>
                <c:pt idx="109">
                  <c:v>43310</c:v>
                </c:pt>
                <c:pt idx="110">
                  <c:v>43311</c:v>
                </c:pt>
                <c:pt idx="111">
                  <c:v>43312</c:v>
                </c:pt>
                <c:pt idx="112">
                  <c:v>43313</c:v>
                </c:pt>
                <c:pt idx="113">
                  <c:v>43314</c:v>
                </c:pt>
                <c:pt idx="114">
                  <c:v>43315</c:v>
                </c:pt>
                <c:pt idx="115">
                  <c:v>43316</c:v>
                </c:pt>
                <c:pt idx="116">
                  <c:v>43317</c:v>
                </c:pt>
                <c:pt idx="117">
                  <c:v>43318</c:v>
                </c:pt>
                <c:pt idx="118">
                  <c:v>43319</c:v>
                </c:pt>
                <c:pt idx="119">
                  <c:v>43320</c:v>
                </c:pt>
                <c:pt idx="120">
                  <c:v>43321</c:v>
                </c:pt>
                <c:pt idx="121">
                  <c:v>43322</c:v>
                </c:pt>
                <c:pt idx="122">
                  <c:v>43323</c:v>
                </c:pt>
                <c:pt idx="123">
                  <c:v>43324</c:v>
                </c:pt>
                <c:pt idx="124">
                  <c:v>43325</c:v>
                </c:pt>
                <c:pt idx="125">
                  <c:v>43326</c:v>
                </c:pt>
                <c:pt idx="126">
                  <c:v>43327</c:v>
                </c:pt>
                <c:pt idx="127">
                  <c:v>43328</c:v>
                </c:pt>
                <c:pt idx="128">
                  <c:v>43329</c:v>
                </c:pt>
                <c:pt idx="129">
                  <c:v>43330</c:v>
                </c:pt>
                <c:pt idx="130">
                  <c:v>43331</c:v>
                </c:pt>
                <c:pt idx="131">
                  <c:v>43332</c:v>
                </c:pt>
                <c:pt idx="132">
                  <c:v>43333</c:v>
                </c:pt>
                <c:pt idx="133">
                  <c:v>43334</c:v>
                </c:pt>
                <c:pt idx="134">
                  <c:v>43335</c:v>
                </c:pt>
                <c:pt idx="135">
                  <c:v>43336</c:v>
                </c:pt>
                <c:pt idx="136">
                  <c:v>43337</c:v>
                </c:pt>
                <c:pt idx="137">
                  <c:v>43338</c:v>
                </c:pt>
                <c:pt idx="138">
                  <c:v>43339</c:v>
                </c:pt>
                <c:pt idx="139">
                  <c:v>43340</c:v>
                </c:pt>
                <c:pt idx="140">
                  <c:v>43341</c:v>
                </c:pt>
                <c:pt idx="141">
                  <c:v>43342</c:v>
                </c:pt>
                <c:pt idx="142">
                  <c:v>43343</c:v>
                </c:pt>
                <c:pt idx="143">
                  <c:v>43344</c:v>
                </c:pt>
                <c:pt idx="144">
                  <c:v>43345</c:v>
                </c:pt>
                <c:pt idx="145">
                  <c:v>43346</c:v>
                </c:pt>
                <c:pt idx="146">
                  <c:v>43347</c:v>
                </c:pt>
                <c:pt idx="147">
                  <c:v>43348</c:v>
                </c:pt>
                <c:pt idx="148">
                  <c:v>43349</c:v>
                </c:pt>
                <c:pt idx="149">
                  <c:v>43350</c:v>
                </c:pt>
                <c:pt idx="150">
                  <c:v>43351</c:v>
                </c:pt>
                <c:pt idx="151">
                  <c:v>43352</c:v>
                </c:pt>
                <c:pt idx="152">
                  <c:v>43353</c:v>
                </c:pt>
                <c:pt idx="153">
                  <c:v>43354</c:v>
                </c:pt>
                <c:pt idx="154">
                  <c:v>43355</c:v>
                </c:pt>
                <c:pt idx="155">
                  <c:v>43356</c:v>
                </c:pt>
                <c:pt idx="156">
                  <c:v>43357</c:v>
                </c:pt>
                <c:pt idx="157">
                  <c:v>43358</c:v>
                </c:pt>
                <c:pt idx="158">
                  <c:v>43359</c:v>
                </c:pt>
                <c:pt idx="159">
                  <c:v>43360</c:v>
                </c:pt>
                <c:pt idx="160">
                  <c:v>43361</c:v>
                </c:pt>
                <c:pt idx="161">
                  <c:v>43362</c:v>
                </c:pt>
                <c:pt idx="162">
                  <c:v>43363</c:v>
                </c:pt>
                <c:pt idx="163">
                  <c:v>43364</c:v>
                </c:pt>
                <c:pt idx="164">
                  <c:v>43365</c:v>
                </c:pt>
                <c:pt idx="165">
                  <c:v>43366</c:v>
                </c:pt>
                <c:pt idx="166">
                  <c:v>43367</c:v>
                </c:pt>
                <c:pt idx="167">
                  <c:v>43368</c:v>
                </c:pt>
                <c:pt idx="168">
                  <c:v>43369</c:v>
                </c:pt>
                <c:pt idx="169">
                  <c:v>43370</c:v>
                </c:pt>
                <c:pt idx="170">
                  <c:v>43371</c:v>
                </c:pt>
                <c:pt idx="171">
                  <c:v>43372</c:v>
                </c:pt>
                <c:pt idx="172">
                  <c:v>43373</c:v>
                </c:pt>
                <c:pt idx="173">
                  <c:v>43374</c:v>
                </c:pt>
                <c:pt idx="174">
                  <c:v>43375</c:v>
                </c:pt>
                <c:pt idx="175">
                  <c:v>43376</c:v>
                </c:pt>
                <c:pt idx="176">
                  <c:v>43377</c:v>
                </c:pt>
                <c:pt idx="177">
                  <c:v>43378</c:v>
                </c:pt>
                <c:pt idx="178">
                  <c:v>43379</c:v>
                </c:pt>
                <c:pt idx="179">
                  <c:v>43380</c:v>
                </c:pt>
                <c:pt idx="180">
                  <c:v>43381</c:v>
                </c:pt>
                <c:pt idx="181">
                  <c:v>43382</c:v>
                </c:pt>
                <c:pt idx="182">
                  <c:v>43383</c:v>
                </c:pt>
                <c:pt idx="183">
                  <c:v>43384</c:v>
                </c:pt>
                <c:pt idx="184">
                  <c:v>43385</c:v>
                </c:pt>
                <c:pt idx="185">
                  <c:v>43386</c:v>
                </c:pt>
                <c:pt idx="186">
                  <c:v>43387</c:v>
                </c:pt>
                <c:pt idx="187">
                  <c:v>43388</c:v>
                </c:pt>
                <c:pt idx="188">
                  <c:v>43389</c:v>
                </c:pt>
                <c:pt idx="189">
                  <c:v>43390</c:v>
                </c:pt>
                <c:pt idx="190">
                  <c:v>43391</c:v>
                </c:pt>
                <c:pt idx="191">
                  <c:v>43392</c:v>
                </c:pt>
                <c:pt idx="192">
                  <c:v>43393</c:v>
                </c:pt>
                <c:pt idx="193">
                  <c:v>43394</c:v>
                </c:pt>
                <c:pt idx="194">
                  <c:v>43395</c:v>
                </c:pt>
                <c:pt idx="195">
                  <c:v>43396</c:v>
                </c:pt>
                <c:pt idx="196">
                  <c:v>43397</c:v>
                </c:pt>
                <c:pt idx="197">
                  <c:v>43398</c:v>
                </c:pt>
                <c:pt idx="198">
                  <c:v>43399</c:v>
                </c:pt>
                <c:pt idx="199">
                  <c:v>43400</c:v>
                </c:pt>
                <c:pt idx="200">
                  <c:v>43401</c:v>
                </c:pt>
                <c:pt idx="201">
                  <c:v>43402</c:v>
                </c:pt>
                <c:pt idx="202">
                  <c:v>43403</c:v>
                </c:pt>
                <c:pt idx="203">
                  <c:v>43404</c:v>
                </c:pt>
                <c:pt idx="204">
                  <c:v>43405</c:v>
                </c:pt>
                <c:pt idx="205">
                  <c:v>43406</c:v>
                </c:pt>
                <c:pt idx="206">
                  <c:v>43407</c:v>
                </c:pt>
                <c:pt idx="207">
                  <c:v>43408</c:v>
                </c:pt>
                <c:pt idx="208">
                  <c:v>43409</c:v>
                </c:pt>
                <c:pt idx="209">
                  <c:v>43410</c:v>
                </c:pt>
                <c:pt idx="210">
                  <c:v>43411</c:v>
                </c:pt>
                <c:pt idx="211">
                  <c:v>43412</c:v>
                </c:pt>
                <c:pt idx="212">
                  <c:v>43413</c:v>
                </c:pt>
                <c:pt idx="213">
                  <c:v>43414</c:v>
                </c:pt>
                <c:pt idx="214">
                  <c:v>43415</c:v>
                </c:pt>
                <c:pt idx="215">
                  <c:v>43416</c:v>
                </c:pt>
                <c:pt idx="216">
                  <c:v>43417</c:v>
                </c:pt>
                <c:pt idx="217">
                  <c:v>43418</c:v>
                </c:pt>
                <c:pt idx="218">
                  <c:v>43419</c:v>
                </c:pt>
                <c:pt idx="219">
                  <c:v>43420</c:v>
                </c:pt>
                <c:pt idx="220">
                  <c:v>43421</c:v>
                </c:pt>
                <c:pt idx="221">
                  <c:v>43422</c:v>
                </c:pt>
                <c:pt idx="222">
                  <c:v>43423</c:v>
                </c:pt>
                <c:pt idx="223">
                  <c:v>43424</c:v>
                </c:pt>
                <c:pt idx="224">
                  <c:v>43425</c:v>
                </c:pt>
                <c:pt idx="225">
                  <c:v>43426</c:v>
                </c:pt>
                <c:pt idx="226">
                  <c:v>43427</c:v>
                </c:pt>
                <c:pt idx="227">
                  <c:v>43428</c:v>
                </c:pt>
                <c:pt idx="228">
                  <c:v>43429</c:v>
                </c:pt>
                <c:pt idx="229">
                  <c:v>43430</c:v>
                </c:pt>
                <c:pt idx="230">
                  <c:v>43431</c:v>
                </c:pt>
                <c:pt idx="231">
                  <c:v>43432</c:v>
                </c:pt>
                <c:pt idx="232">
                  <c:v>43433</c:v>
                </c:pt>
                <c:pt idx="233">
                  <c:v>43434</c:v>
                </c:pt>
                <c:pt idx="234">
                  <c:v>43435</c:v>
                </c:pt>
                <c:pt idx="235">
                  <c:v>43436</c:v>
                </c:pt>
                <c:pt idx="236">
                  <c:v>43437</c:v>
                </c:pt>
                <c:pt idx="237">
                  <c:v>43438</c:v>
                </c:pt>
                <c:pt idx="238">
                  <c:v>43439</c:v>
                </c:pt>
                <c:pt idx="239">
                  <c:v>43440</c:v>
                </c:pt>
                <c:pt idx="240">
                  <c:v>43441</c:v>
                </c:pt>
                <c:pt idx="241">
                  <c:v>43442</c:v>
                </c:pt>
                <c:pt idx="242">
                  <c:v>43443</c:v>
                </c:pt>
                <c:pt idx="243">
                  <c:v>43444</c:v>
                </c:pt>
                <c:pt idx="244">
                  <c:v>43445</c:v>
                </c:pt>
                <c:pt idx="245">
                  <c:v>43446</c:v>
                </c:pt>
                <c:pt idx="246">
                  <c:v>43447</c:v>
                </c:pt>
                <c:pt idx="247">
                  <c:v>43448</c:v>
                </c:pt>
                <c:pt idx="248">
                  <c:v>43449</c:v>
                </c:pt>
                <c:pt idx="249">
                  <c:v>43450</c:v>
                </c:pt>
                <c:pt idx="250">
                  <c:v>43451</c:v>
                </c:pt>
                <c:pt idx="251">
                  <c:v>43452</c:v>
                </c:pt>
                <c:pt idx="252">
                  <c:v>43453</c:v>
                </c:pt>
                <c:pt idx="253">
                  <c:v>43454</c:v>
                </c:pt>
                <c:pt idx="254">
                  <c:v>43455</c:v>
                </c:pt>
                <c:pt idx="255">
                  <c:v>43456</c:v>
                </c:pt>
                <c:pt idx="256">
                  <c:v>43457</c:v>
                </c:pt>
                <c:pt idx="257">
                  <c:v>43458</c:v>
                </c:pt>
                <c:pt idx="258">
                  <c:v>43459</c:v>
                </c:pt>
                <c:pt idx="259">
                  <c:v>43460</c:v>
                </c:pt>
                <c:pt idx="260">
                  <c:v>43461</c:v>
                </c:pt>
                <c:pt idx="261">
                  <c:v>43462</c:v>
                </c:pt>
                <c:pt idx="262">
                  <c:v>43463</c:v>
                </c:pt>
                <c:pt idx="263">
                  <c:v>43464</c:v>
                </c:pt>
                <c:pt idx="264">
                  <c:v>43465</c:v>
                </c:pt>
                <c:pt idx="265">
                  <c:v>43466</c:v>
                </c:pt>
                <c:pt idx="266">
                  <c:v>43467</c:v>
                </c:pt>
                <c:pt idx="267">
                  <c:v>43468</c:v>
                </c:pt>
                <c:pt idx="268">
                  <c:v>43469</c:v>
                </c:pt>
                <c:pt idx="269">
                  <c:v>43470</c:v>
                </c:pt>
                <c:pt idx="270">
                  <c:v>43471</c:v>
                </c:pt>
                <c:pt idx="271">
                  <c:v>43472</c:v>
                </c:pt>
                <c:pt idx="272">
                  <c:v>43473</c:v>
                </c:pt>
                <c:pt idx="273">
                  <c:v>43474</c:v>
                </c:pt>
                <c:pt idx="274">
                  <c:v>43475</c:v>
                </c:pt>
                <c:pt idx="275">
                  <c:v>43476</c:v>
                </c:pt>
                <c:pt idx="276">
                  <c:v>43477</c:v>
                </c:pt>
                <c:pt idx="277">
                  <c:v>43478</c:v>
                </c:pt>
                <c:pt idx="278">
                  <c:v>43479</c:v>
                </c:pt>
                <c:pt idx="279">
                  <c:v>43480</c:v>
                </c:pt>
                <c:pt idx="280">
                  <c:v>43481</c:v>
                </c:pt>
                <c:pt idx="281">
                  <c:v>43482</c:v>
                </c:pt>
                <c:pt idx="282">
                  <c:v>43483</c:v>
                </c:pt>
                <c:pt idx="283">
                  <c:v>43484</c:v>
                </c:pt>
                <c:pt idx="284">
                  <c:v>43485</c:v>
                </c:pt>
                <c:pt idx="285">
                  <c:v>43486</c:v>
                </c:pt>
                <c:pt idx="286">
                  <c:v>43487</c:v>
                </c:pt>
                <c:pt idx="287">
                  <c:v>43488</c:v>
                </c:pt>
                <c:pt idx="288">
                  <c:v>43489</c:v>
                </c:pt>
                <c:pt idx="289">
                  <c:v>43490</c:v>
                </c:pt>
                <c:pt idx="290">
                  <c:v>43491</c:v>
                </c:pt>
                <c:pt idx="291">
                  <c:v>43492</c:v>
                </c:pt>
                <c:pt idx="292">
                  <c:v>43493</c:v>
                </c:pt>
                <c:pt idx="293">
                  <c:v>43494</c:v>
                </c:pt>
                <c:pt idx="294">
                  <c:v>43495</c:v>
                </c:pt>
                <c:pt idx="295">
                  <c:v>43496</c:v>
                </c:pt>
                <c:pt idx="296">
                  <c:v>43497</c:v>
                </c:pt>
                <c:pt idx="297">
                  <c:v>43498</c:v>
                </c:pt>
                <c:pt idx="298">
                  <c:v>43499</c:v>
                </c:pt>
                <c:pt idx="299">
                  <c:v>43500</c:v>
                </c:pt>
                <c:pt idx="300">
                  <c:v>43501</c:v>
                </c:pt>
                <c:pt idx="301">
                  <c:v>43502</c:v>
                </c:pt>
                <c:pt idx="302">
                  <c:v>43503</c:v>
                </c:pt>
                <c:pt idx="303">
                  <c:v>43504</c:v>
                </c:pt>
                <c:pt idx="304">
                  <c:v>43505</c:v>
                </c:pt>
                <c:pt idx="305">
                  <c:v>43506</c:v>
                </c:pt>
                <c:pt idx="306">
                  <c:v>43507</c:v>
                </c:pt>
                <c:pt idx="307">
                  <c:v>43508</c:v>
                </c:pt>
                <c:pt idx="308">
                  <c:v>43509</c:v>
                </c:pt>
                <c:pt idx="309">
                  <c:v>43510</c:v>
                </c:pt>
                <c:pt idx="310">
                  <c:v>43511</c:v>
                </c:pt>
                <c:pt idx="311">
                  <c:v>43512</c:v>
                </c:pt>
                <c:pt idx="312">
                  <c:v>43513</c:v>
                </c:pt>
                <c:pt idx="313">
                  <c:v>43514</c:v>
                </c:pt>
                <c:pt idx="314">
                  <c:v>43515</c:v>
                </c:pt>
                <c:pt idx="315">
                  <c:v>43516</c:v>
                </c:pt>
                <c:pt idx="316">
                  <c:v>43517</c:v>
                </c:pt>
                <c:pt idx="317">
                  <c:v>43518</c:v>
                </c:pt>
                <c:pt idx="318">
                  <c:v>43519</c:v>
                </c:pt>
                <c:pt idx="319">
                  <c:v>43520</c:v>
                </c:pt>
                <c:pt idx="320">
                  <c:v>43521</c:v>
                </c:pt>
                <c:pt idx="321">
                  <c:v>43522</c:v>
                </c:pt>
                <c:pt idx="322">
                  <c:v>43523</c:v>
                </c:pt>
                <c:pt idx="323">
                  <c:v>43524</c:v>
                </c:pt>
                <c:pt idx="324">
                  <c:v>43525</c:v>
                </c:pt>
                <c:pt idx="325">
                  <c:v>43526</c:v>
                </c:pt>
                <c:pt idx="326">
                  <c:v>43527</c:v>
                </c:pt>
                <c:pt idx="327">
                  <c:v>43528</c:v>
                </c:pt>
                <c:pt idx="328">
                  <c:v>43529</c:v>
                </c:pt>
                <c:pt idx="329">
                  <c:v>43530</c:v>
                </c:pt>
                <c:pt idx="330">
                  <c:v>43531</c:v>
                </c:pt>
                <c:pt idx="331">
                  <c:v>43532</c:v>
                </c:pt>
                <c:pt idx="332">
                  <c:v>43533</c:v>
                </c:pt>
                <c:pt idx="333">
                  <c:v>43534</c:v>
                </c:pt>
                <c:pt idx="334">
                  <c:v>43535</c:v>
                </c:pt>
                <c:pt idx="335">
                  <c:v>43536</c:v>
                </c:pt>
                <c:pt idx="336">
                  <c:v>43537</c:v>
                </c:pt>
                <c:pt idx="337">
                  <c:v>43538</c:v>
                </c:pt>
                <c:pt idx="338">
                  <c:v>43539</c:v>
                </c:pt>
                <c:pt idx="339">
                  <c:v>43540</c:v>
                </c:pt>
                <c:pt idx="340">
                  <c:v>43541</c:v>
                </c:pt>
                <c:pt idx="341">
                  <c:v>43542</c:v>
                </c:pt>
                <c:pt idx="342">
                  <c:v>43543</c:v>
                </c:pt>
                <c:pt idx="343">
                  <c:v>43544</c:v>
                </c:pt>
                <c:pt idx="344">
                  <c:v>43545</c:v>
                </c:pt>
                <c:pt idx="345">
                  <c:v>43546</c:v>
                </c:pt>
                <c:pt idx="346">
                  <c:v>43547</c:v>
                </c:pt>
                <c:pt idx="347">
                  <c:v>43548</c:v>
                </c:pt>
                <c:pt idx="348">
                  <c:v>43549</c:v>
                </c:pt>
                <c:pt idx="349">
                  <c:v>43550</c:v>
                </c:pt>
                <c:pt idx="350">
                  <c:v>43551</c:v>
                </c:pt>
                <c:pt idx="351">
                  <c:v>43552</c:v>
                </c:pt>
                <c:pt idx="352">
                  <c:v>43553</c:v>
                </c:pt>
                <c:pt idx="353">
                  <c:v>43554</c:v>
                </c:pt>
                <c:pt idx="354">
                  <c:v>43555</c:v>
                </c:pt>
                <c:pt idx="355">
                  <c:v>43556</c:v>
                </c:pt>
                <c:pt idx="356">
                  <c:v>43557</c:v>
                </c:pt>
                <c:pt idx="357">
                  <c:v>43558</c:v>
                </c:pt>
                <c:pt idx="358">
                  <c:v>43559</c:v>
                </c:pt>
                <c:pt idx="359">
                  <c:v>43560</c:v>
                </c:pt>
                <c:pt idx="360">
                  <c:v>43561</c:v>
                </c:pt>
                <c:pt idx="361">
                  <c:v>43562</c:v>
                </c:pt>
                <c:pt idx="362">
                  <c:v>43563</c:v>
                </c:pt>
                <c:pt idx="363">
                  <c:v>43564</c:v>
                </c:pt>
              </c:numCache>
            </c:numRef>
          </c:cat>
          <c:val>
            <c:numRef>
              <c:f>Charts!$F$16:$F$379</c:f>
              <c:numCache>
                <c:formatCode>0.00%;\(0.00\)%</c:formatCode>
                <c:ptCount val="364"/>
                <c:pt idx="0" formatCode="0.00%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433-427B-ABA2-178362B3B2AB}"/>
            </c:ext>
          </c:extLst>
        </c:ser>
        <c:ser>
          <c:idx val="3"/>
          <c:order val="3"/>
          <c:tx>
            <c:strRef>
              <c:f>Charts!$G$15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Charts!$C$16:$C$379</c:f>
              <c:numCache>
                <c:formatCode>d\-mmm\-yy</c:formatCode>
                <c:ptCount val="364"/>
                <c:pt idx="0">
                  <c:v>43201</c:v>
                </c:pt>
                <c:pt idx="1">
                  <c:v>43202</c:v>
                </c:pt>
                <c:pt idx="2">
                  <c:v>43203</c:v>
                </c:pt>
                <c:pt idx="3">
                  <c:v>43204</c:v>
                </c:pt>
                <c:pt idx="4">
                  <c:v>43205</c:v>
                </c:pt>
                <c:pt idx="5">
                  <c:v>43206</c:v>
                </c:pt>
                <c:pt idx="6">
                  <c:v>43207</c:v>
                </c:pt>
                <c:pt idx="7">
                  <c:v>43208</c:v>
                </c:pt>
                <c:pt idx="8">
                  <c:v>43209</c:v>
                </c:pt>
                <c:pt idx="9">
                  <c:v>43210</c:v>
                </c:pt>
                <c:pt idx="10">
                  <c:v>43211</c:v>
                </c:pt>
                <c:pt idx="11">
                  <c:v>43212</c:v>
                </c:pt>
                <c:pt idx="12">
                  <c:v>43213</c:v>
                </c:pt>
                <c:pt idx="13">
                  <c:v>43214</c:v>
                </c:pt>
                <c:pt idx="14">
                  <c:v>43215</c:v>
                </c:pt>
                <c:pt idx="15">
                  <c:v>43216</c:v>
                </c:pt>
                <c:pt idx="16">
                  <c:v>43217</c:v>
                </c:pt>
                <c:pt idx="17">
                  <c:v>43218</c:v>
                </c:pt>
                <c:pt idx="18">
                  <c:v>43219</c:v>
                </c:pt>
                <c:pt idx="19">
                  <c:v>43220</c:v>
                </c:pt>
                <c:pt idx="20">
                  <c:v>43221</c:v>
                </c:pt>
                <c:pt idx="21">
                  <c:v>43222</c:v>
                </c:pt>
                <c:pt idx="22">
                  <c:v>43223</c:v>
                </c:pt>
                <c:pt idx="23">
                  <c:v>43224</c:v>
                </c:pt>
                <c:pt idx="24">
                  <c:v>43225</c:v>
                </c:pt>
                <c:pt idx="25">
                  <c:v>43226</c:v>
                </c:pt>
                <c:pt idx="26">
                  <c:v>43227</c:v>
                </c:pt>
                <c:pt idx="27">
                  <c:v>43228</c:v>
                </c:pt>
                <c:pt idx="28">
                  <c:v>43229</c:v>
                </c:pt>
                <c:pt idx="29">
                  <c:v>43230</c:v>
                </c:pt>
                <c:pt idx="30">
                  <c:v>43231</c:v>
                </c:pt>
                <c:pt idx="31">
                  <c:v>43232</c:v>
                </c:pt>
                <c:pt idx="32">
                  <c:v>43233</c:v>
                </c:pt>
                <c:pt idx="33">
                  <c:v>43234</c:v>
                </c:pt>
                <c:pt idx="34">
                  <c:v>43235</c:v>
                </c:pt>
                <c:pt idx="35">
                  <c:v>43236</c:v>
                </c:pt>
                <c:pt idx="36">
                  <c:v>43237</c:v>
                </c:pt>
                <c:pt idx="37">
                  <c:v>43238</c:v>
                </c:pt>
                <c:pt idx="38">
                  <c:v>43239</c:v>
                </c:pt>
                <c:pt idx="39">
                  <c:v>43240</c:v>
                </c:pt>
                <c:pt idx="40">
                  <c:v>43241</c:v>
                </c:pt>
                <c:pt idx="41">
                  <c:v>43242</c:v>
                </c:pt>
                <c:pt idx="42">
                  <c:v>43243</c:v>
                </c:pt>
                <c:pt idx="43">
                  <c:v>43244</c:v>
                </c:pt>
                <c:pt idx="44">
                  <c:v>43245</c:v>
                </c:pt>
                <c:pt idx="45">
                  <c:v>43246</c:v>
                </c:pt>
                <c:pt idx="46">
                  <c:v>43247</c:v>
                </c:pt>
                <c:pt idx="47">
                  <c:v>43248</c:v>
                </c:pt>
                <c:pt idx="48">
                  <c:v>43249</c:v>
                </c:pt>
                <c:pt idx="49">
                  <c:v>43250</c:v>
                </c:pt>
                <c:pt idx="50">
                  <c:v>43251</c:v>
                </c:pt>
                <c:pt idx="51">
                  <c:v>43252</c:v>
                </c:pt>
                <c:pt idx="52">
                  <c:v>43253</c:v>
                </c:pt>
                <c:pt idx="53">
                  <c:v>43254</c:v>
                </c:pt>
                <c:pt idx="54">
                  <c:v>43255</c:v>
                </c:pt>
                <c:pt idx="55">
                  <c:v>43256</c:v>
                </c:pt>
                <c:pt idx="56">
                  <c:v>43257</c:v>
                </c:pt>
                <c:pt idx="57">
                  <c:v>43258</c:v>
                </c:pt>
                <c:pt idx="58">
                  <c:v>43259</c:v>
                </c:pt>
                <c:pt idx="59">
                  <c:v>43260</c:v>
                </c:pt>
                <c:pt idx="60">
                  <c:v>43261</c:v>
                </c:pt>
                <c:pt idx="61">
                  <c:v>43262</c:v>
                </c:pt>
                <c:pt idx="62">
                  <c:v>43263</c:v>
                </c:pt>
                <c:pt idx="63">
                  <c:v>43264</c:v>
                </c:pt>
                <c:pt idx="64">
                  <c:v>43265</c:v>
                </c:pt>
                <c:pt idx="65">
                  <c:v>43266</c:v>
                </c:pt>
                <c:pt idx="66">
                  <c:v>43267</c:v>
                </c:pt>
                <c:pt idx="67">
                  <c:v>43268</c:v>
                </c:pt>
                <c:pt idx="68">
                  <c:v>43269</c:v>
                </c:pt>
                <c:pt idx="69">
                  <c:v>43270</c:v>
                </c:pt>
                <c:pt idx="70">
                  <c:v>43271</c:v>
                </c:pt>
                <c:pt idx="71">
                  <c:v>43272</c:v>
                </c:pt>
                <c:pt idx="72">
                  <c:v>43273</c:v>
                </c:pt>
                <c:pt idx="73">
                  <c:v>43274</c:v>
                </c:pt>
                <c:pt idx="74">
                  <c:v>43275</c:v>
                </c:pt>
                <c:pt idx="75">
                  <c:v>43276</c:v>
                </c:pt>
                <c:pt idx="76">
                  <c:v>43277</c:v>
                </c:pt>
                <c:pt idx="77">
                  <c:v>43278</c:v>
                </c:pt>
                <c:pt idx="78">
                  <c:v>43279</c:v>
                </c:pt>
                <c:pt idx="79">
                  <c:v>43280</c:v>
                </c:pt>
                <c:pt idx="80">
                  <c:v>43281</c:v>
                </c:pt>
                <c:pt idx="81">
                  <c:v>43282</c:v>
                </c:pt>
                <c:pt idx="82">
                  <c:v>43283</c:v>
                </c:pt>
                <c:pt idx="83">
                  <c:v>43284</c:v>
                </c:pt>
                <c:pt idx="84">
                  <c:v>43285</c:v>
                </c:pt>
                <c:pt idx="85">
                  <c:v>43286</c:v>
                </c:pt>
                <c:pt idx="86">
                  <c:v>43287</c:v>
                </c:pt>
                <c:pt idx="87">
                  <c:v>43288</c:v>
                </c:pt>
                <c:pt idx="88">
                  <c:v>43289</c:v>
                </c:pt>
                <c:pt idx="89">
                  <c:v>43290</c:v>
                </c:pt>
                <c:pt idx="90">
                  <c:v>43291</c:v>
                </c:pt>
                <c:pt idx="91">
                  <c:v>43292</c:v>
                </c:pt>
                <c:pt idx="92">
                  <c:v>43293</c:v>
                </c:pt>
                <c:pt idx="93">
                  <c:v>43294</c:v>
                </c:pt>
                <c:pt idx="94">
                  <c:v>43295</c:v>
                </c:pt>
                <c:pt idx="95">
                  <c:v>43296</c:v>
                </c:pt>
                <c:pt idx="96">
                  <c:v>43297</c:v>
                </c:pt>
                <c:pt idx="97">
                  <c:v>43298</c:v>
                </c:pt>
                <c:pt idx="98">
                  <c:v>43299</c:v>
                </c:pt>
                <c:pt idx="99">
                  <c:v>43300</c:v>
                </c:pt>
                <c:pt idx="100">
                  <c:v>43301</c:v>
                </c:pt>
                <c:pt idx="101">
                  <c:v>43302</c:v>
                </c:pt>
                <c:pt idx="102">
                  <c:v>43303</c:v>
                </c:pt>
                <c:pt idx="103">
                  <c:v>43304</c:v>
                </c:pt>
                <c:pt idx="104">
                  <c:v>43305</c:v>
                </c:pt>
                <c:pt idx="105">
                  <c:v>43306</c:v>
                </c:pt>
                <c:pt idx="106">
                  <c:v>43307</c:v>
                </c:pt>
                <c:pt idx="107">
                  <c:v>43308</c:v>
                </c:pt>
                <c:pt idx="108">
                  <c:v>43309</c:v>
                </c:pt>
                <c:pt idx="109">
                  <c:v>43310</c:v>
                </c:pt>
                <c:pt idx="110">
                  <c:v>43311</c:v>
                </c:pt>
                <c:pt idx="111">
                  <c:v>43312</c:v>
                </c:pt>
                <c:pt idx="112">
                  <c:v>43313</c:v>
                </c:pt>
                <c:pt idx="113">
                  <c:v>43314</c:v>
                </c:pt>
                <c:pt idx="114">
                  <c:v>43315</c:v>
                </c:pt>
                <c:pt idx="115">
                  <c:v>43316</c:v>
                </c:pt>
                <c:pt idx="116">
                  <c:v>43317</c:v>
                </c:pt>
                <c:pt idx="117">
                  <c:v>43318</c:v>
                </c:pt>
                <c:pt idx="118">
                  <c:v>43319</c:v>
                </c:pt>
                <c:pt idx="119">
                  <c:v>43320</c:v>
                </c:pt>
                <c:pt idx="120">
                  <c:v>43321</c:v>
                </c:pt>
                <c:pt idx="121">
                  <c:v>43322</c:v>
                </c:pt>
                <c:pt idx="122">
                  <c:v>43323</c:v>
                </c:pt>
                <c:pt idx="123">
                  <c:v>43324</c:v>
                </c:pt>
                <c:pt idx="124">
                  <c:v>43325</c:v>
                </c:pt>
                <c:pt idx="125">
                  <c:v>43326</c:v>
                </c:pt>
                <c:pt idx="126">
                  <c:v>43327</c:v>
                </c:pt>
                <c:pt idx="127">
                  <c:v>43328</c:v>
                </c:pt>
                <c:pt idx="128">
                  <c:v>43329</c:v>
                </c:pt>
                <c:pt idx="129">
                  <c:v>43330</c:v>
                </c:pt>
                <c:pt idx="130">
                  <c:v>43331</c:v>
                </c:pt>
                <c:pt idx="131">
                  <c:v>43332</c:v>
                </c:pt>
                <c:pt idx="132">
                  <c:v>43333</c:v>
                </c:pt>
                <c:pt idx="133">
                  <c:v>43334</c:v>
                </c:pt>
                <c:pt idx="134">
                  <c:v>43335</c:v>
                </c:pt>
                <c:pt idx="135">
                  <c:v>43336</c:v>
                </c:pt>
                <c:pt idx="136">
                  <c:v>43337</c:v>
                </c:pt>
                <c:pt idx="137">
                  <c:v>43338</c:v>
                </c:pt>
                <c:pt idx="138">
                  <c:v>43339</c:v>
                </c:pt>
                <c:pt idx="139">
                  <c:v>43340</c:v>
                </c:pt>
                <c:pt idx="140">
                  <c:v>43341</c:v>
                </c:pt>
                <c:pt idx="141">
                  <c:v>43342</c:v>
                </c:pt>
                <c:pt idx="142">
                  <c:v>43343</c:v>
                </c:pt>
                <c:pt idx="143">
                  <c:v>43344</c:v>
                </c:pt>
                <c:pt idx="144">
                  <c:v>43345</c:v>
                </c:pt>
                <c:pt idx="145">
                  <c:v>43346</c:v>
                </c:pt>
                <c:pt idx="146">
                  <c:v>43347</c:v>
                </c:pt>
                <c:pt idx="147">
                  <c:v>43348</c:v>
                </c:pt>
                <c:pt idx="148">
                  <c:v>43349</c:v>
                </c:pt>
                <c:pt idx="149">
                  <c:v>43350</c:v>
                </c:pt>
                <c:pt idx="150">
                  <c:v>43351</c:v>
                </c:pt>
                <c:pt idx="151">
                  <c:v>43352</c:v>
                </c:pt>
                <c:pt idx="152">
                  <c:v>43353</c:v>
                </c:pt>
                <c:pt idx="153">
                  <c:v>43354</c:v>
                </c:pt>
                <c:pt idx="154">
                  <c:v>43355</c:v>
                </c:pt>
                <c:pt idx="155">
                  <c:v>43356</c:v>
                </c:pt>
                <c:pt idx="156">
                  <c:v>43357</c:v>
                </c:pt>
                <c:pt idx="157">
                  <c:v>43358</c:v>
                </c:pt>
                <c:pt idx="158">
                  <c:v>43359</c:v>
                </c:pt>
                <c:pt idx="159">
                  <c:v>43360</c:v>
                </c:pt>
                <c:pt idx="160">
                  <c:v>43361</c:v>
                </c:pt>
                <c:pt idx="161">
                  <c:v>43362</c:v>
                </c:pt>
                <c:pt idx="162">
                  <c:v>43363</c:v>
                </c:pt>
                <c:pt idx="163">
                  <c:v>43364</c:v>
                </c:pt>
                <c:pt idx="164">
                  <c:v>43365</c:v>
                </c:pt>
                <c:pt idx="165">
                  <c:v>43366</c:v>
                </c:pt>
                <c:pt idx="166">
                  <c:v>43367</c:v>
                </c:pt>
                <c:pt idx="167">
                  <c:v>43368</c:v>
                </c:pt>
                <c:pt idx="168">
                  <c:v>43369</c:v>
                </c:pt>
                <c:pt idx="169">
                  <c:v>43370</c:v>
                </c:pt>
                <c:pt idx="170">
                  <c:v>43371</c:v>
                </c:pt>
                <c:pt idx="171">
                  <c:v>43372</c:v>
                </c:pt>
                <c:pt idx="172">
                  <c:v>43373</c:v>
                </c:pt>
                <c:pt idx="173">
                  <c:v>43374</c:v>
                </c:pt>
                <c:pt idx="174">
                  <c:v>43375</c:v>
                </c:pt>
                <c:pt idx="175">
                  <c:v>43376</c:v>
                </c:pt>
                <c:pt idx="176">
                  <c:v>43377</c:v>
                </c:pt>
                <c:pt idx="177">
                  <c:v>43378</c:v>
                </c:pt>
                <c:pt idx="178">
                  <c:v>43379</c:v>
                </c:pt>
                <c:pt idx="179">
                  <c:v>43380</c:v>
                </c:pt>
                <c:pt idx="180">
                  <c:v>43381</c:v>
                </c:pt>
                <c:pt idx="181">
                  <c:v>43382</c:v>
                </c:pt>
                <c:pt idx="182">
                  <c:v>43383</c:v>
                </c:pt>
                <c:pt idx="183">
                  <c:v>43384</c:v>
                </c:pt>
                <c:pt idx="184">
                  <c:v>43385</c:v>
                </c:pt>
                <c:pt idx="185">
                  <c:v>43386</c:v>
                </c:pt>
                <c:pt idx="186">
                  <c:v>43387</c:v>
                </c:pt>
                <c:pt idx="187">
                  <c:v>43388</c:v>
                </c:pt>
                <c:pt idx="188">
                  <c:v>43389</c:v>
                </c:pt>
                <c:pt idx="189">
                  <c:v>43390</c:v>
                </c:pt>
                <c:pt idx="190">
                  <c:v>43391</c:v>
                </c:pt>
                <c:pt idx="191">
                  <c:v>43392</c:v>
                </c:pt>
                <c:pt idx="192">
                  <c:v>43393</c:v>
                </c:pt>
                <c:pt idx="193">
                  <c:v>43394</c:v>
                </c:pt>
                <c:pt idx="194">
                  <c:v>43395</c:v>
                </c:pt>
                <c:pt idx="195">
                  <c:v>43396</c:v>
                </c:pt>
                <c:pt idx="196">
                  <c:v>43397</c:v>
                </c:pt>
                <c:pt idx="197">
                  <c:v>43398</c:v>
                </c:pt>
                <c:pt idx="198">
                  <c:v>43399</c:v>
                </c:pt>
                <c:pt idx="199">
                  <c:v>43400</c:v>
                </c:pt>
                <c:pt idx="200">
                  <c:v>43401</c:v>
                </c:pt>
                <c:pt idx="201">
                  <c:v>43402</c:v>
                </c:pt>
                <c:pt idx="202">
                  <c:v>43403</c:v>
                </c:pt>
                <c:pt idx="203">
                  <c:v>43404</c:v>
                </c:pt>
                <c:pt idx="204">
                  <c:v>43405</c:v>
                </c:pt>
                <c:pt idx="205">
                  <c:v>43406</c:v>
                </c:pt>
                <c:pt idx="206">
                  <c:v>43407</c:v>
                </c:pt>
                <c:pt idx="207">
                  <c:v>43408</c:v>
                </c:pt>
                <c:pt idx="208">
                  <c:v>43409</c:v>
                </c:pt>
                <c:pt idx="209">
                  <c:v>43410</c:v>
                </c:pt>
                <c:pt idx="210">
                  <c:v>43411</c:v>
                </c:pt>
                <c:pt idx="211">
                  <c:v>43412</c:v>
                </c:pt>
                <c:pt idx="212">
                  <c:v>43413</c:v>
                </c:pt>
                <c:pt idx="213">
                  <c:v>43414</c:v>
                </c:pt>
                <c:pt idx="214">
                  <c:v>43415</c:v>
                </c:pt>
                <c:pt idx="215">
                  <c:v>43416</c:v>
                </c:pt>
                <c:pt idx="216">
                  <c:v>43417</c:v>
                </c:pt>
                <c:pt idx="217">
                  <c:v>43418</c:v>
                </c:pt>
                <c:pt idx="218">
                  <c:v>43419</c:v>
                </c:pt>
                <c:pt idx="219">
                  <c:v>43420</c:v>
                </c:pt>
                <c:pt idx="220">
                  <c:v>43421</c:v>
                </c:pt>
                <c:pt idx="221">
                  <c:v>43422</c:v>
                </c:pt>
                <c:pt idx="222">
                  <c:v>43423</c:v>
                </c:pt>
                <c:pt idx="223">
                  <c:v>43424</c:v>
                </c:pt>
                <c:pt idx="224">
                  <c:v>43425</c:v>
                </c:pt>
                <c:pt idx="225">
                  <c:v>43426</c:v>
                </c:pt>
                <c:pt idx="226">
                  <c:v>43427</c:v>
                </c:pt>
                <c:pt idx="227">
                  <c:v>43428</c:v>
                </c:pt>
                <c:pt idx="228">
                  <c:v>43429</c:v>
                </c:pt>
                <c:pt idx="229">
                  <c:v>43430</c:v>
                </c:pt>
                <c:pt idx="230">
                  <c:v>43431</c:v>
                </c:pt>
                <c:pt idx="231">
                  <c:v>43432</c:v>
                </c:pt>
                <c:pt idx="232">
                  <c:v>43433</c:v>
                </c:pt>
                <c:pt idx="233">
                  <c:v>43434</c:v>
                </c:pt>
                <c:pt idx="234">
                  <c:v>43435</c:v>
                </c:pt>
                <c:pt idx="235">
                  <c:v>43436</c:v>
                </c:pt>
                <c:pt idx="236">
                  <c:v>43437</c:v>
                </c:pt>
                <c:pt idx="237">
                  <c:v>43438</c:v>
                </c:pt>
                <c:pt idx="238">
                  <c:v>43439</c:v>
                </c:pt>
                <c:pt idx="239">
                  <c:v>43440</c:v>
                </c:pt>
                <c:pt idx="240">
                  <c:v>43441</c:v>
                </c:pt>
                <c:pt idx="241">
                  <c:v>43442</c:v>
                </c:pt>
                <c:pt idx="242">
                  <c:v>43443</c:v>
                </c:pt>
                <c:pt idx="243">
                  <c:v>43444</c:v>
                </c:pt>
                <c:pt idx="244">
                  <c:v>43445</c:v>
                </c:pt>
                <c:pt idx="245">
                  <c:v>43446</c:v>
                </c:pt>
                <c:pt idx="246">
                  <c:v>43447</c:v>
                </c:pt>
                <c:pt idx="247">
                  <c:v>43448</c:v>
                </c:pt>
                <c:pt idx="248">
                  <c:v>43449</c:v>
                </c:pt>
                <c:pt idx="249">
                  <c:v>43450</c:v>
                </c:pt>
                <c:pt idx="250">
                  <c:v>43451</c:v>
                </c:pt>
                <c:pt idx="251">
                  <c:v>43452</c:v>
                </c:pt>
                <c:pt idx="252">
                  <c:v>43453</c:v>
                </c:pt>
                <c:pt idx="253">
                  <c:v>43454</c:v>
                </c:pt>
                <c:pt idx="254">
                  <c:v>43455</c:v>
                </c:pt>
                <c:pt idx="255">
                  <c:v>43456</c:v>
                </c:pt>
                <c:pt idx="256">
                  <c:v>43457</c:v>
                </c:pt>
                <c:pt idx="257">
                  <c:v>43458</c:v>
                </c:pt>
                <c:pt idx="258">
                  <c:v>43459</c:v>
                </c:pt>
                <c:pt idx="259">
                  <c:v>43460</c:v>
                </c:pt>
                <c:pt idx="260">
                  <c:v>43461</c:v>
                </c:pt>
                <c:pt idx="261">
                  <c:v>43462</c:v>
                </c:pt>
                <c:pt idx="262">
                  <c:v>43463</c:v>
                </c:pt>
                <c:pt idx="263">
                  <c:v>43464</c:v>
                </c:pt>
                <c:pt idx="264">
                  <c:v>43465</c:v>
                </c:pt>
                <c:pt idx="265">
                  <c:v>43466</c:v>
                </c:pt>
                <c:pt idx="266">
                  <c:v>43467</c:v>
                </c:pt>
                <c:pt idx="267">
                  <c:v>43468</c:v>
                </c:pt>
                <c:pt idx="268">
                  <c:v>43469</c:v>
                </c:pt>
                <c:pt idx="269">
                  <c:v>43470</c:v>
                </c:pt>
                <c:pt idx="270">
                  <c:v>43471</c:v>
                </c:pt>
                <c:pt idx="271">
                  <c:v>43472</c:v>
                </c:pt>
                <c:pt idx="272">
                  <c:v>43473</c:v>
                </c:pt>
                <c:pt idx="273">
                  <c:v>43474</c:v>
                </c:pt>
                <c:pt idx="274">
                  <c:v>43475</c:v>
                </c:pt>
                <c:pt idx="275">
                  <c:v>43476</c:v>
                </c:pt>
                <c:pt idx="276">
                  <c:v>43477</c:v>
                </c:pt>
                <c:pt idx="277">
                  <c:v>43478</c:v>
                </c:pt>
                <c:pt idx="278">
                  <c:v>43479</c:v>
                </c:pt>
                <c:pt idx="279">
                  <c:v>43480</c:v>
                </c:pt>
                <c:pt idx="280">
                  <c:v>43481</c:v>
                </c:pt>
                <c:pt idx="281">
                  <c:v>43482</c:v>
                </c:pt>
                <c:pt idx="282">
                  <c:v>43483</c:v>
                </c:pt>
                <c:pt idx="283">
                  <c:v>43484</c:v>
                </c:pt>
                <c:pt idx="284">
                  <c:v>43485</c:v>
                </c:pt>
                <c:pt idx="285">
                  <c:v>43486</c:v>
                </c:pt>
                <c:pt idx="286">
                  <c:v>43487</c:v>
                </c:pt>
                <c:pt idx="287">
                  <c:v>43488</c:v>
                </c:pt>
                <c:pt idx="288">
                  <c:v>43489</c:v>
                </c:pt>
                <c:pt idx="289">
                  <c:v>43490</c:v>
                </c:pt>
                <c:pt idx="290">
                  <c:v>43491</c:v>
                </c:pt>
                <c:pt idx="291">
                  <c:v>43492</c:v>
                </c:pt>
                <c:pt idx="292">
                  <c:v>43493</c:v>
                </c:pt>
                <c:pt idx="293">
                  <c:v>43494</c:v>
                </c:pt>
                <c:pt idx="294">
                  <c:v>43495</c:v>
                </c:pt>
                <c:pt idx="295">
                  <c:v>43496</c:v>
                </c:pt>
                <c:pt idx="296">
                  <c:v>43497</c:v>
                </c:pt>
                <c:pt idx="297">
                  <c:v>43498</c:v>
                </c:pt>
                <c:pt idx="298">
                  <c:v>43499</c:v>
                </c:pt>
                <c:pt idx="299">
                  <c:v>43500</c:v>
                </c:pt>
                <c:pt idx="300">
                  <c:v>43501</c:v>
                </c:pt>
                <c:pt idx="301">
                  <c:v>43502</c:v>
                </c:pt>
                <c:pt idx="302">
                  <c:v>43503</c:v>
                </c:pt>
                <c:pt idx="303">
                  <c:v>43504</c:v>
                </c:pt>
                <c:pt idx="304">
                  <c:v>43505</c:v>
                </c:pt>
                <c:pt idx="305">
                  <c:v>43506</c:v>
                </c:pt>
                <c:pt idx="306">
                  <c:v>43507</c:v>
                </c:pt>
                <c:pt idx="307">
                  <c:v>43508</c:v>
                </c:pt>
                <c:pt idx="308">
                  <c:v>43509</c:v>
                </c:pt>
                <c:pt idx="309">
                  <c:v>43510</c:v>
                </c:pt>
                <c:pt idx="310">
                  <c:v>43511</c:v>
                </c:pt>
                <c:pt idx="311">
                  <c:v>43512</c:v>
                </c:pt>
                <c:pt idx="312">
                  <c:v>43513</c:v>
                </c:pt>
                <c:pt idx="313">
                  <c:v>43514</c:v>
                </c:pt>
                <c:pt idx="314">
                  <c:v>43515</c:v>
                </c:pt>
                <c:pt idx="315">
                  <c:v>43516</c:v>
                </c:pt>
                <c:pt idx="316">
                  <c:v>43517</c:v>
                </c:pt>
                <c:pt idx="317">
                  <c:v>43518</c:v>
                </c:pt>
                <c:pt idx="318">
                  <c:v>43519</c:v>
                </c:pt>
                <c:pt idx="319">
                  <c:v>43520</c:v>
                </c:pt>
                <c:pt idx="320">
                  <c:v>43521</c:v>
                </c:pt>
                <c:pt idx="321">
                  <c:v>43522</c:v>
                </c:pt>
                <c:pt idx="322">
                  <c:v>43523</c:v>
                </c:pt>
                <c:pt idx="323">
                  <c:v>43524</c:v>
                </c:pt>
                <c:pt idx="324">
                  <c:v>43525</c:v>
                </c:pt>
                <c:pt idx="325">
                  <c:v>43526</c:v>
                </c:pt>
                <c:pt idx="326">
                  <c:v>43527</c:v>
                </c:pt>
                <c:pt idx="327">
                  <c:v>43528</c:v>
                </c:pt>
                <c:pt idx="328">
                  <c:v>43529</c:v>
                </c:pt>
                <c:pt idx="329">
                  <c:v>43530</c:v>
                </c:pt>
                <c:pt idx="330">
                  <c:v>43531</c:v>
                </c:pt>
                <c:pt idx="331">
                  <c:v>43532</c:v>
                </c:pt>
                <c:pt idx="332">
                  <c:v>43533</c:v>
                </c:pt>
                <c:pt idx="333">
                  <c:v>43534</c:v>
                </c:pt>
                <c:pt idx="334">
                  <c:v>43535</c:v>
                </c:pt>
                <c:pt idx="335">
                  <c:v>43536</c:v>
                </c:pt>
                <c:pt idx="336">
                  <c:v>43537</c:v>
                </c:pt>
                <c:pt idx="337">
                  <c:v>43538</c:v>
                </c:pt>
                <c:pt idx="338">
                  <c:v>43539</c:v>
                </c:pt>
                <c:pt idx="339">
                  <c:v>43540</c:v>
                </c:pt>
                <c:pt idx="340">
                  <c:v>43541</c:v>
                </c:pt>
                <c:pt idx="341">
                  <c:v>43542</c:v>
                </c:pt>
                <c:pt idx="342">
                  <c:v>43543</c:v>
                </c:pt>
                <c:pt idx="343">
                  <c:v>43544</c:v>
                </c:pt>
                <c:pt idx="344">
                  <c:v>43545</c:v>
                </c:pt>
                <c:pt idx="345">
                  <c:v>43546</c:v>
                </c:pt>
                <c:pt idx="346">
                  <c:v>43547</c:v>
                </c:pt>
                <c:pt idx="347">
                  <c:v>43548</c:v>
                </c:pt>
                <c:pt idx="348">
                  <c:v>43549</c:v>
                </c:pt>
                <c:pt idx="349">
                  <c:v>43550</c:v>
                </c:pt>
                <c:pt idx="350">
                  <c:v>43551</c:v>
                </c:pt>
                <c:pt idx="351">
                  <c:v>43552</c:v>
                </c:pt>
                <c:pt idx="352">
                  <c:v>43553</c:v>
                </c:pt>
                <c:pt idx="353">
                  <c:v>43554</c:v>
                </c:pt>
                <c:pt idx="354">
                  <c:v>43555</c:v>
                </c:pt>
                <c:pt idx="355">
                  <c:v>43556</c:v>
                </c:pt>
                <c:pt idx="356">
                  <c:v>43557</c:v>
                </c:pt>
                <c:pt idx="357">
                  <c:v>43558</c:v>
                </c:pt>
                <c:pt idx="358">
                  <c:v>43559</c:v>
                </c:pt>
                <c:pt idx="359">
                  <c:v>43560</c:v>
                </c:pt>
                <c:pt idx="360">
                  <c:v>43561</c:v>
                </c:pt>
                <c:pt idx="361">
                  <c:v>43562</c:v>
                </c:pt>
                <c:pt idx="362">
                  <c:v>43563</c:v>
                </c:pt>
                <c:pt idx="363">
                  <c:v>43564</c:v>
                </c:pt>
              </c:numCache>
            </c:numRef>
          </c:cat>
          <c:val>
            <c:numRef>
              <c:f>Charts!$G$16:$G$379</c:f>
              <c:numCache>
                <c:formatCode>0.00%;\(0.00\)%</c:formatCode>
                <c:ptCount val="364"/>
                <c:pt idx="0" formatCode="0.00%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433-427B-ABA2-178362B3B2AB}"/>
            </c:ext>
          </c:extLst>
        </c:ser>
        <c:ser>
          <c:idx val="4"/>
          <c:order val="4"/>
          <c:tx>
            <c:strRef>
              <c:f>Charts!$H$15</c:f>
              <c:strCache>
                <c:ptCount val="1"/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Charts!$C$16:$C$379</c:f>
              <c:numCache>
                <c:formatCode>d\-mmm\-yy</c:formatCode>
                <c:ptCount val="364"/>
                <c:pt idx="0">
                  <c:v>43201</c:v>
                </c:pt>
                <c:pt idx="1">
                  <c:v>43202</c:v>
                </c:pt>
                <c:pt idx="2">
                  <c:v>43203</c:v>
                </c:pt>
                <c:pt idx="3">
                  <c:v>43204</c:v>
                </c:pt>
                <c:pt idx="4">
                  <c:v>43205</c:v>
                </c:pt>
                <c:pt idx="5">
                  <c:v>43206</c:v>
                </c:pt>
                <c:pt idx="6">
                  <c:v>43207</c:v>
                </c:pt>
                <c:pt idx="7">
                  <c:v>43208</c:v>
                </c:pt>
                <c:pt idx="8">
                  <c:v>43209</c:v>
                </c:pt>
                <c:pt idx="9">
                  <c:v>43210</c:v>
                </c:pt>
                <c:pt idx="10">
                  <c:v>43211</c:v>
                </c:pt>
                <c:pt idx="11">
                  <c:v>43212</c:v>
                </c:pt>
                <c:pt idx="12">
                  <c:v>43213</c:v>
                </c:pt>
                <c:pt idx="13">
                  <c:v>43214</c:v>
                </c:pt>
                <c:pt idx="14">
                  <c:v>43215</c:v>
                </c:pt>
                <c:pt idx="15">
                  <c:v>43216</c:v>
                </c:pt>
                <c:pt idx="16">
                  <c:v>43217</c:v>
                </c:pt>
                <c:pt idx="17">
                  <c:v>43218</c:v>
                </c:pt>
                <c:pt idx="18">
                  <c:v>43219</c:v>
                </c:pt>
                <c:pt idx="19">
                  <c:v>43220</c:v>
                </c:pt>
                <c:pt idx="20">
                  <c:v>43221</c:v>
                </c:pt>
                <c:pt idx="21">
                  <c:v>43222</c:v>
                </c:pt>
                <c:pt idx="22">
                  <c:v>43223</c:v>
                </c:pt>
                <c:pt idx="23">
                  <c:v>43224</c:v>
                </c:pt>
                <c:pt idx="24">
                  <c:v>43225</c:v>
                </c:pt>
                <c:pt idx="25">
                  <c:v>43226</c:v>
                </c:pt>
                <c:pt idx="26">
                  <c:v>43227</c:v>
                </c:pt>
                <c:pt idx="27">
                  <c:v>43228</c:v>
                </c:pt>
                <c:pt idx="28">
                  <c:v>43229</c:v>
                </c:pt>
                <c:pt idx="29">
                  <c:v>43230</c:v>
                </c:pt>
                <c:pt idx="30">
                  <c:v>43231</c:v>
                </c:pt>
                <c:pt idx="31">
                  <c:v>43232</c:v>
                </c:pt>
                <c:pt idx="32">
                  <c:v>43233</c:v>
                </c:pt>
                <c:pt idx="33">
                  <c:v>43234</c:v>
                </c:pt>
                <c:pt idx="34">
                  <c:v>43235</c:v>
                </c:pt>
                <c:pt idx="35">
                  <c:v>43236</c:v>
                </c:pt>
                <c:pt idx="36">
                  <c:v>43237</c:v>
                </c:pt>
                <c:pt idx="37">
                  <c:v>43238</c:v>
                </c:pt>
                <c:pt idx="38">
                  <c:v>43239</c:v>
                </c:pt>
                <c:pt idx="39">
                  <c:v>43240</c:v>
                </c:pt>
                <c:pt idx="40">
                  <c:v>43241</c:v>
                </c:pt>
                <c:pt idx="41">
                  <c:v>43242</c:v>
                </c:pt>
                <c:pt idx="42">
                  <c:v>43243</c:v>
                </c:pt>
                <c:pt idx="43">
                  <c:v>43244</c:v>
                </c:pt>
                <c:pt idx="44">
                  <c:v>43245</c:v>
                </c:pt>
                <c:pt idx="45">
                  <c:v>43246</c:v>
                </c:pt>
                <c:pt idx="46">
                  <c:v>43247</c:v>
                </c:pt>
                <c:pt idx="47">
                  <c:v>43248</c:v>
                </c:pt>
                <c:pt idx="48">
                  <c:v>43249</c:v>
                </c:pt>
                <c:pt idx="49">
                  <c:v>43250</c:v>
                </c:pt>
                <c:pt idx="50">
                  <c:v>43251</c:v>
                </c:pt>
                <c:pt idx="51">
                  <c:v>43252</c:v>
                </c:pt>
                <c:pt idx="52">
                  <c:v>43253</c:v>
                </c:pt>
                <c:pt idx="53">
                  <c:v>43254</c:v>
                </c:pt>
                <c:pt idx="54">
                  <c:v>43255</c:v>
                </c:pt>
                <c:pt idx="55">
                  <c:v>43256</c:v>
                </c:pt>
                <c:pt idx="56">
                  <c:v>43257</c:v>
                </c:pt>
                <c:pt idx="57">
                  <c:v>43258</c:v>
                </c:pt>
                <c:pt idx="58">
                  <c:v>43259</c:v>
                </c:pt>
                <c:pt idx="59">
                  <c:v>43260</c:v>
                </c:pt>
                <c:pt idx="60">
                  <c:v>43261</c:v>
                </c:pt>
                <c:pt idx="61">
                  <c:v>43262</c:v>
                </c:pt>
                <c:pt idx="62">
                  <c:v>43263</c:v>
                </c:pt>
                <c:pt idx="63">
                  <c:v>43264</c:v>
                </c:pt>
                <c:pt idx="64">
                  <c:v>43265</c:v>
                </c:pt>
                <c:pt idx="65">
                  <c:v>43266</c:v>
                </c:pt>
                <c:pt idx="66">
                  <c:v>43267</c:v>
                </c:pt>
                <c:pt idx="67">
                  <c:v>43268</c:v>
                </c:pt>
                <c:pt idx="68">
                  <c:v>43269</c:v>
                </c:pt>
                <c:pt idx="69">
                  <c:v>43270</c:v>
                </c:pt>
                <c:pt idx="70">
                  <c:v>43271</c:v>
                </c:pt>
                <c:pt idx="71">
                  <c:v>43272</c:v>
                </c:pt>
                <c:pt idx="72">
                  <c:v>43273</c:v>
                </c:pt>
                <c:pt idx="73">
                  <c:v>43274</c:v>
                </c:pt>
                <c:pt idx="74">
                  <c:v>43275</c:v>
                </c:pt>
                <c:pt idx="75">
                  <c:v>43276</c:v>
                </c:pt>
                <c:pt idx="76">
                  <c:v>43277</c:v>
                </c:pt>
                <c:pt idx="77">
                  <c:v>43278</c:v>
                </c:pt>
                <c:pt idx="78">
                  <c:v>43279</c:v>
                </c:pt>
                <c:pt idx="79">
                  <c:v>43280</c:v>
                </c:pt>
                <c:pt idx="80">
                  <c:v>43281</c:v>
                </c:pt>
                <c:pt idx="81">
                  <c:v>43282</c:v>
                </c:pt>
                <c:pt idx="82">
                  <c:v>43283</c:v>
                </c:pt>
                <c:pt idx="83">
                  <c:v>43284</c:v>
                </c:pt>
                <c:pt idx="84">
                  <c:v>43285</c:v>
                </c:pt>
                <c:pt idx="85">
                  <c:v>43286</c:v>
                </c:pt>
                <c:pt idx="86">
                  <c:v>43287</c:v>
                </c:pt>
                <c:pt idx="87">
                  <c:v>43288</c:v>
                </c:pt>
                <c:pt idx="88">
                  <c:v>43289</c:v>
                </c:pt>
                <c:pt idx="89">
                  <c:v>43290</c:v>
                </c:pt>
                <c:pt idx="90">
                  <c:v>43291</c:v>
                </c:pt>
                <c:pt idx="91">
                  <c:v>43292</c:v>
                </c:pt>
                <c:pt idx="92">
                  <c:v>43293</c:v>
                </c:pt>
                <c:pt idx="93">
                  <c:v>43294</c:v>
                </c:pt>
                <c:pt idx="94">
                  <c:v>43295</c:v>
                </c:pt>
                <c:pt idx="95">
                  <c:v>43296</c:v>
                </c:pt>
                <c:pt idx="96">
                  <c:v>43297</c:v>
                </c:pt>
                <c:pt idx="97">
                  <c:v>43298</c:v>
                </c:pt>
                <c:pt idx="98">
                  <c:v>43299</c:v>
                </c:pt>
                <c:pt idx="99">
                  <c:v>43300</c:v>
                </c:pt>
                <c:pt idx="100">
                  <c:v>43301</c:v>
                </c:pt>
                <c:pt idx="101">
                  <c:v>43302</c:v>
                </c:pt>
                <c:pt idx="102">
                  <c:v>43303</c:v>
                </c:pt>
                <c:pt idx="103">
                  <c:v>43304</c:v>
                </c:pt>
                <c:pt idx="104">
                  <c:v>43305</c:v>
                </c:pt>
                <c:pt idx="105">
                  <c:v>43306</c:v>
                </c:pt>
                <c:pt idx="106">
                  <c:v>43307</c:v>
                </c:pt>
                <c:pt idx="107">
                  <c:v>43308</c:v>
                </c:pt>
                <c:pt idx="108">
                  <c:v>43309</c:v>
                </c:pt>
                <c:pt idx="109">
                  <c:v>43310</c:v>
                </c:pt>
                <c:pt idx="110">
                  <c:v>43311</c:v>
                </c:pt>
                <c:pt idx="111">
                  <c:v>43312</c:v>
                </c:pt>
                <c:pt idx="112">
                  <c:v>43313</c:v>
                </c:pt>
                <c:pt idx="113">
                  <c:v>43314</c:v>
                </c:pt>
                <c:pt idx="114">
                  <c:v>43315</c:v>
                </c:pt>
                <c:pt idx="115">
                  <c:v>43316</c:v>
                </c:pt>
                <c:pt idx="116">
                  <c:v>43317</c:v>
                </c:pt>
                <c:pt idx="117">
                  <c:v>43318</c:v>
                </c:pt>
                <c:pt idx="118">
                  <c:v>43319</c:v>
                </c:pt>
                <c:pt idx="119">
                  <c:v>43320</c:v>
                </c:pt>
                <c:pt idx="120">
                  <c:v>43321</c:v>
                </c:pt>
                <c:pt idx="121">
                  <c:v>43322</c:v>
                </c:pt>
                <c:pt idx="122">
                  <c:v>43323</c:v>
                </c:pt>
                <c:pt idx="123">
                  <c:v>43324</c:v>
                </c:pt>
                <c:pt idx="124">
                  <c:v>43325</c:v>
                </c:pt>
                <c:pt idx="125">
                  <c:v>43326</c:v>
                </c:pt>
                <c:pt idx="126">
                  <c:v>43327</c:v>
                </c:pt>
                <c:pt idx="127">
                  <c:v>43328</c:v>
                </c:pt>
                <c:pt idx="128">
                  <c:v>43329</c:v>
                </c:pt>
                <c:pt idx="129">
                  <c:v>43330</c:v>
                </c:pt>
                <c:pt idx="130">
                  <c:v>43331</c:v>
                </c:pt>
                <c:pt idx="131">
                  <c:v>43332</c:v>
                </c:pt>
                <c:pt idx="132">
                  <c:v>43333</c:v>
                </c:pt>
                <c:pt idx="133">
                  <c:v>43334</c:v>
                </c:pt>
                <c:pt idx="134">
                  <c:v>43335</c:v>
                </c:pt>
                <c:pt idx="135">
                  <c:v>43336</c:v>
                </c:pt>
                <c:pt idx="136">
                  <c:v>43337</c:v>
                </c:pt>
                <c:pt idx="137">
                  <c:v>43338</c:v>
                </c:pt>
                <c:pt idx="138">
                  <c:v>43339</c:v>
                </c:pt>
                <c:pt idx="139">
                  <c:v>43340</c:v>
                </c:pt>
                <c:pt idx="140">
                  <c:v>43341</c:v>
                </c:pt>
                <c:pt idx="141">
                  <c:v>43342</c:v>
                </c:pt>
                <c:pt idx="142">
                  <c:v>43343</c:v>
                </c:pt>
                <c:pt idx="143">
                  <c:v>43344</c:v>
                </c:pt>
                <c:pt idx="144">
                  <c:v>43345</c:v>
                </c:pt>
                <c:pt idx="145">
                  <c:v>43346</c:v>
                </c:pt>
                <c:pt idx="146">
                  <c:v>43347</c:v>
                </c:pt>
                <c:pt idx="147">
                  <c:v>43348</c:v>
                </c:pt>
                <c:pt idx="148">
                  <c:v>43349</c:v>
                </c:pt>
                <c:pt idx="149">
                  <c:v>43350</c:v>
                </c:pt>
                <c:pt idx="150">
                  <c:v>43351</c:v>
                </c:pt>
                <c:pt idx="151">
                  <c:v>43352</c:v>
                </c:pt>
                <c:pt idx="152">
                  <c:v>43353</c:v>
                </c:pt>
                <c:pt idx="153">
                  <c:v>43354</c:v>
                </c:pt>
                <c:pt idx="154">
                  <c:v>43355</c:v>
                </c:pt>
                <c:pt idx="155">
                  <c:v>43356</c:v>
                </c:pt>
                <c:pt idx="156">
                  <c:v>43357</c:v>
                </c:pt>
                <c:pt idx="157">
                  <c:v>43358</c:v>
                </c:pt>
                <c:pt idx="158">
                  <c:v>43359</c:v>
                </c:pt>
                <c:pt idx="159">
                  <c:v>43360</c:v>
                </c:pt>
                <c:pt idx="160">
                  <c:v>43361</c:v>
                </c:pt>
                <c:pt idx="161">
                  <c:v>43362</c:v>
                </c:pt>
                <c:pt idx="162">
                  <c:v>43363</c:v>
                </c:pt>
                <c:pt idx="163">
                  <c:v>43364</c:v>
                </c:pt>
                <c:pt idx="164">
                  <c:v>43365</c:v>
                </c:pt>
                <c:pt idx="165">
                  <c:v>43366</c:v>
                </c:pt>
                <c:pt idx="166">
                  <c:v>43367</c:v>
                </c:pt>
                <c:pt idx="167">
                  <c:v>43368</c:v>
                </c:pt>
                <c:pt idx="168">
                  <c:v>43369</c:v>
                </c:pt>
                <c:pt idx="169">
                  <c:v>43370</c:v>
                </c:pt>
                <c:pt idx="170">
                  <c:v>43371</c:v>
                </c:pt>
                <c:pt idx="171">
                  <c:v>43372</c:v>
                </c:pt>
                <c:pt idx="172">
                  <c:v>43373</c:v>
                </c:pt>
                <c:pt idx="173">
                  <c:v>43374</c:v>
                </c:pt>
                <c:pt idx="174">
                  <c:v>43375</c:v>
                </c:pt>
                <c:pt idx="175">
                  <c:v>43376</c:v>
                </c:pt>
                <c:pt idx="176">
                  <c:v>43377</c:v>
                </c:pt>
                <c:pt idx="177">
                  <c:v>43378</c:v>
                </c:pt>
                <c:pt idx="178">
                  <c:v>43379</c:v>
                </c:pt>
                <c:pt idx="179">
                  <c:v>43380</c:v>
                </c:pt>
                <c:pt idx="180">
                  <c:v>43381</c:v>
                </c:pt>
                <c:pt idx="181">
                  <c:v>43382</c:v>
                </c:pt>
                <c:pt idx="182">
                  <c:v>43383</c:v>
                </c:pt>
                <c:pt idx="183">
                  <c:v>43384</c:v>
                </c:pt>
                <c:pt idx="184">
                  <c:v>43385</c:v>
                </c:pt>
                <c:pt idx="185">
                  <c:v>43386</c:v>
                </c:pt>
                <c:pt idx="186">
                  <c:v>43387</c:v>
                </c:pt>
                <c:pt idx="187">
                  <c:v>43388</c:v>
                </c:pt>
                <c:pt idx="188">
                  <c:v>43389</c:v>
                </c:pt>
                <c:pt idx="189">
                  <c:v>43390</c:v>
                </c:pt>
                <c:pt idx="190">
                  <c:v>43391</c:v>
                </c:pt>
                <c:pt idx="191">
                  <c:v>43392</c:v>
                </c:pt>
                <c:pt idx="192">
                  <c:v>43393</c:v>
                </c:pt>
                <c:pt idx="193">
                  <c:v>43394</c:v>
                </c:pt>
                <c:pt idx="194">
                  <c:v>43395</c:v>
                </c:pt>
                <c:pt idx="195">
                  <c:v>43396</c:v>
                </c:pt>
                <c:pt idx="196">
                  <c:v>43397</c:v>
                </c:pt>
                <c:pt idx="197">
                  <c:v>43398</c:v>
                </c:pt>
                <c:pt idx="198">
                  <c:v>43399</c:v>
                </c:pt>
                <c:pt idx="199">
                  <c:v>43400</c:v>
                </c:pt>
                <c:pt idx="200">
                  <c:v>43401</c:v>
                </c:pt>
                <c:pt idx="201">
                  <c:v>43402</c:v>
                </c:pt>
                <c:pt idx="202">
                  <c:v>43403</c:v>
                </c:pt>
                <c:pt idx="203">
                  <c:v>43404</c:v>
                </c:pt>
                <c:pt idx="204">
                  <c:v>43405</c:v>
                </c:pt>
                <c:pt idx="205">
                  <c:v>43406</c:v>
                </c:pt>
                <c:pt idx="206">
                  <c:v>43407</c:v>
                </c:pt>
                <c:pt idx="207">
                  <c:v>43408</c:v>
                </c:pt>
                <c:pt idx="208">
                  <c:v>43409</c:v>
                </c:pt>
                <c:pt idx="209">
                  <c:v>43410</c:v>
                </c:pt>
                <c:pt idx="210">
                  <c:v>43411</c:v>
                </c:pt>
                <c:pt idx="211">
                  <c:v>43412</c:v>
                </c:pt>
                <c:pt idx="212">
                  <c:v>43413</c:v>
                </c:pt>
                <c:pt idx="213">
                  <c:v>43414</c:v>
                </c:pt>
                <c:pt idx="214">
                  <c:v>43415</c:v>
                </c:pt>
                <c:pt idx="215">
                  <c:v>43416</c:v>
                </c:pt>
                <c:pt idx="216">
                  <c:v>43417</c:v>
                </c:pt>
                <c:pt idx="217">
                  <c:v>43418</c:v>
                </c:pt>
                <c:pt idx="218">
                  <c:v>43419</c:v>
                </c:pt>
                <c:pt idx="219">
                  <c:v>43420</c:v>
                </c:pt>
                <c:pt idx="220">
                  <c:v>43421</c:v>
                </c:pt>
                <c:pt idx="221">
                  <c:v>43422</c:v>
                </c:pt>
                <c:pt idx="222">
                  <c:v>43423</c:v>
                </c:pt>
                <c:pt idx="223">
                  <c:v>43424</c:v>
                </c:pt>
                <c:pt idx="224">
                  <c:v>43425</c:v>
                </c:pt>
                <c:pt idx="225">
                  <c:v>43426</c:v>
                </c:pt>
                <c:pt idx="226">
                  <c:v>43427</c:v>
                </c:pt>
                <c:pt idx="227">
                  <c:v>43428</c:v>
                </c:pt>
                <c:pt idx="228">
                  <c:v>43429</c:v>
                </c:pt>
                <c:pt idx="229">
                  <c:v>43430</c:v>
                </c:pt>
                <c:pt idx="230">
                  <c:v>43431</c:v>
                </c:pt>
                <c:pt idx="231">
                  <c:v>43432</c:v>
                </c:pt>
                <c:pt idx="232">
                  <c:v>43433</c:v>
                </c:pt>
                <c:pt idx="233">
                  <c:v>43434</c:v>
                </c:pt>
                <c:pt idx="234">
                  <c:v>43435</c:v>
                </c:pt>
                <c:pt idx="235">
                  <c:v>43436</c:v>
                </c:pt>
                <c:pt idx="236">
                  <c:v>43437</c:v>
                </c:pt>
                <c:pt idx="237">
                  <c:v>43438</c:v>
                </c:pt>
                <c:pt idx="238">
                  <c:v>43439</c:v>
                </c:pt>
                <c:pt idx="239">
                  <c:v>43440</c:v>
                </c:pt>
                <c:pt idx="240">
                  <c:v>43441</c:v>
                </c:pt>
                <c:pt idx="241">
                  <c:v>43442</c:v>
                </c:pt>
                <c:pt idx="242">
                  <c:v>43443</c:v>
                </c:pt>
                <c:pt idx="243">
                  <c:v>43444</c:v>
                </c:pt>
                <c:pt idx="244">
                  <c:v>43445</c:v>
                </c:pt>
                <c:pt idx="245">
                  <c:v>43446</c:v>
                </c:pt>
                <c:pt idx="246">
                  <c:v>43447</c:v>
                </c:pt>
                <c:pt idx="247">
                  <c:v>43448</c:v>
                </c:pt>
                <c:pt idx="248">
                  <c:v>43449</c:v>
                </c:pt>
                <c:pt idx="249">
                  <c:v>43450</c:v>
                </c:pt>
                <c:pt idx="250">
                  <c:v>43451</c:v>
                </c:pt>
                <c:pt idx="251">
                  <c:v>43452</c:v>
                </c:pt>
                <c:pt idx="252">
                  <c:v>43453</c:v>
                </c:pt>
                <c:pt idx="253">
                  <c:v>43454</c:v>
                </c:pt>
                <c:pt idx="254">
                  <c:v>43455</c:v>
                </c:pt>
                <c:pt idx="255">
                  <c:v>43456</c:v>
                </c:pt>
                <c:pt idx="256">
                  <c:v>43457</c:v>
                </c:pt>
                <c:pt idx="257">
                  <c:v>43458</c:v>
                </c:pt>
                <c:pt idx="258">
                  <c:v>43459</c:v>
                </c:pt>
                <c:pt idx="259">
                  <c:v>43460</c:v>
                </c:pt>
                <c:pt idx="260">
                  <c:v>43461</c:v>
                </c:pt>
                <c:pt idx="261">
                  <c:v>43462</c:v>
                </c:pt>
                <c:pt idx="262">
                  <c:v>43463</c:v>
                </c:pt>
                <c:pt idx="263">
                  <c:v>43464</c:v>
                </c:pt>
                <c:pt idx="264">
                  <c:v>43465</c:v>
                </c:pt>
                <c:pt idx="265">
                  <c:v>43466</c:v>
                </c:pt>
                <c:pt idx="266">
                  <c:v>43467</c:v>
                </c:pt>
                <c:pt idx="267">
                  <c:v>43468</c:v>
                </c:pt>
                <c:pt idx="268">
                  <c:v>43469</c:v>
                </c:pt>
                <c:pt idx="269">
                  <c:v>43470</c:v>
                </c:pt>
                <c:pt idx="270">
                  <c:v>43471</c:v>
                </c:pt>
                <c:pt idx="271">
                  <c:v>43472</c:v>
                </c:pt>
                <c:pt idx="272">
                  <c:v>43473</c:v>
                </c:pt>
                <c:pt idx="273">
                  <c:v>43474</c:v>
                </c:pt>
                <c:pt idx="274">
                  <c:v>43475</c:v>
                </c:pt>
                <c:pt idx="275">
                  <c:v>43476</c:v>
                </c:pt>
                <c:pt idx="276">
                  <c:v>43477</c:v>
                </c:pt>
                <c:pt idx="277">
                  <c:v>43478</c:v>
                </c:pt>
                <c:pt idx="278">
                  <c:v>43479</c:v>
                </c:pt>
                <c:pt idx="279">
                  <c:v>43480</c:v>
                </c:pt>
                <c:pt idx="280">
                  <c:v>43481</c:v>
                </c:pt>
                <c:pt idx="281">
                  <c:v>43482</c:v>
                </c:pt>
                <c:pt idx="282">
                  <c:v>43483</c:v>
                </c:pt>
                <c:pt idx="283">
                  <c:v>43484</c:v>
                </c:pt>
                <c:pt idx="284">
                  <c:v>43485</c:v>
                </c:pt>
                <c:pt idx="285">
                  <c:v>43486</c:v>
                </c:pt>
                <c:pt idx="286">
                  <c:v>43487</c:v>
                </c:pt>
                <c:pt idx="287">
                  <c:v>43488</c:v>
                </c:pt>
                <c:pt idx="288">
                  <c:v>43489</c:v>
                </c:pt>
                <c:pt idx="289">
                  <c:v>43490</c:v>
                </c:pt>
                <c:pt idx="290">
                  <c:v>43491</c:v>
                </c:pt>
                <c:pt idx="291">
                  <c:v>43492</c:v>
                </c:pt>
                <c:pt idx="292">
                  <c:v>43493</c:v>
                </c:pt>
                <c:pt idx="293">
                  <c:v>43494</c:v>
                </c:pt>
                <c:pt idx="294">
                  <c:v>43495</c:v>
                </c:pt>
                <c:pt idx="295">
                  <c:v>43496</c:v>
                </c:pt>
                <c:pt idx="296">
                  <c:v>43497</c:v>
                </c:pt>
                <c:pt idx="297">
                  <c:v>43498</c:v>
                </c:pt>
                <c:pt idx="298">
                  <c:v>43499</c:v>
                </c:pt>
                <c:pt idx="299">
                  <c:v>43500</c:v>
                </c:pt>
                <c:pt idx="300">
                  <c:v>43501</c:v>
                </c:pt>
                <c:pt idx="301">
                  <c:v>43502</c:v>
                </c:pt>
                <c:pt idx="302">
                  <c:v>43503</c:v>
                </c:pt>
                <c:pt idx="303">
                  <c:v>43504</c:v>
                </c:pt>
                <c:pt idx="304">
                  <c:v>43505</c:v>
                </c:pt>
                <c:pt idx="305">
                  <c:v>43506</c:v>
                </c:pt>
                <c:pt idx="306">
                  <c:v>43507</c:v>
                </c:pt>
                <c:pt idx="307">
                  <c:v>43508</c:v>
                </c:pt>
                <c:pt idx="308">
                  <c:v>43509</c:v>
                </c:pt>
                <c:pt idx="309">
                  <c:v>43510</c:v>
                </c:pt>
                <c:pt idx="310">
                  <c:v>43511</c:v>
                </c:pt>
                <c:pt idx="311">
                  <c:v>43512</c:v>
                </c:pt>
                <c:pt idx="312">
                  <c:v>43513</c:v>
                </c:pt>
                <c:pt idx="313">
                  <c:v>43514</c:v>
                </c:pt>
                <c:pt idx="314">
                  <c:v>43515</c:v>
                </c:pt>
                <c:pt idx="315">
                  <c:v>43516</c:v>
                </c:pt>
                <c:pt idx="316">
                  <c:v>43517</c:v>
                </c:pt>
                <c:pt idx="317">
                  <c:v>43518</c:v>
                </c:pt>
                <c:pt idx="318">
                  <c:v>43519</c:v>
                </c:pt>
                <c:pt idx="319">
                  <c:v>43520</c:v>
                </c:pt>
                <c:pt idx="320">
                  <c:v>43521</c:v>
                </c:pt>
                <c:pt idx="321">
                  <c:v>43522</c:v>
                </c:pt>
                <c:pt idx="322">
                  <c:v>43523</c:v>
                </c:pt>
                <c:pt idx="323">
                  <c:v>43524</c:v>
                </c:pt>
                <c:pt idx="324">
                  <c:v>43525</c:v>
                </c:pt>
                <c:pt idx="325">
                  <c:v>43526</c:v>
                </c:pt>
                <c:pt idx="326">
                  <c:v>43527</c:v>
                </c:pt>
                <c:pt idx="327">
                  <c:v>43528</c:v>
                </c:pt>
                <c:pt idx="328">
                  <c:v>43529</c:v>
                </c:pt>
                <c:pt idx="329">
                  <c:v>43530</c:v>
                </c:pt>
                <c:pt idx="330">
                  <c:v>43531</c:v>
                </c:pt>
                <c:pt idx="331">
                  <c:v>43532</c:v>
                </c:pt>
                <c:pt idx="332">
                  <c:v>43533</c:v>
                </c:pt>
                <c:pt idx="333">
                  <c:v>43534</c:v>
                </c:pt>
                <c:pt idx="334">
                  <c:v>43535</c:v>
                </c:pt>
                <c:pt idx="335">
                  <c:v>43536</c:v>
                </c:pt>
                <c:pt idx="336">
                  <c:v>43537</c:v>
                </c:pt>
                <c:pt idx="337">
                  <c:v>43538</c:v>
                </c:pt>
                <c:pt idx="338">
                  <c:v>43539</c:v>
                </c:pt>
                <c:pt idx="339">
                  <c:v>43540</c:v>
                </c:pt>
                <c:pt idx="340">
                  <c:v>43541</c:v>
                </c:pt>
                <c:pt idx="341">
                  <c:v>43542</c:v>
                </c:pt>
                <c:pt idx="342">
                  <c:v>43543</c:v>
                </c:pt>
                <c:pt idx="343">
                  <c:v>43544</c:v>
                </c:pt>
                <c:pt idx="344">
                  <c:v>43545</c:v>
                </c:pt>
                <c:pt idx="345">
                  <c:v>43546</c:v>
                </c:pt>
                <c:pt idx="346">
                  <c:v>43547</c:v>
                </c:pt>
                <c:pt idx="347">
                  <c:v>43548</c:v>
                </c:pt>
                <c:pt idx="348">
                  <c:v>43549</c:v>
                </c:pt>
                <c:pt idx="349">
                  <c:v>43550</c:v>
                </c:pt>
                <c:pt idx="350">
                  <c:v>43551</c:v>
                </c:pt>
                <c:pt idx="351">
                  <c:v>43552</c:v>
                </c:pt>
                <c:pt idx="352">
                  <c:v>43553</c:v>
                </c:pt>
                <c:pt idx="353">
                  <c:v>43554</c:v>
                </c:pt>
                <c:pt idx="354">
                  <c:v>43555</c:v>
                </c:pt>
                <c:pt idx="355">
                  <c:v>43556</c:v>
                </c:pt>
                <c:pt idx="356">
                  <c:v>43557</c:v>
                </c:pt>
                <c:pt idx="357">
                  <c:v>43558</c:v>
                </c:pt>
                <c:pt idx="358">
                  <c:v>43559</c:v>
                </c:pt>
                <c:pt idx="359">
                  <c:v>43560</c:v>
                </c:pt>
                <c:pt idx="360">
                  <c:v>43561</c:v>
                </c:pt>
                <c:pt idx="361">
                  <c:v>43562</c:v>
                </c:pt>
                <c:pt idx="362">
                  <c:v>43563</c:v>
                </c:pt>
                <c:pt idx="363">
                  <c:v>43564</c:v>
                </c:pt>
              </c:numCache>
            </c:numRef>
          </c:cat>
          <c:val>
            <c:numRef>
              <c:f>Charts!$H$16:$H$379</c:f>
              <c:numCache>
                <c:formatCode>0.00%;\(0.00\)%</c:formatCode>
                <c:ptCount val="364"/>
                <c:pt idx="0" formatCode="0.00%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433-427B-ABA2-178362B3B2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8250520"/>
        <c:axId val="368253800"/>
      </c:lineChart>
      <c:dateAx>
        <c:axId val="368250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253800"/>
        <c:crosses val="autoZero"/>
        <c:auto val="1"/>
        <c:lblOffset val="100"/>
        <c:baseTimeUnit val="days"/>
      </c:dateAx>
      <c:valAx>
        <c:axId val="3682538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;\(0\)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250520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8965636186325655"/>
          <c:y val="2.6268854030914224E-2"/>
          <c:w val="0.41921711274514062"/>
          <c:h val="4.79236527468320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228599</xdr:colOff>
      <xdr:row>2</xdr:row>
      <xdr:rowOff>128587</xdr:rowOff>
    </xdr:from>
    <xdr:to>
      <xdr:col>22</xdr:col>
      <xdr:colOff>333374</xdr:colOff>
      <xdr:row>26</xdr:row>
      <xdr:rowOff>28575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1D34F39-599A-4954-A971-02A5FF4B4A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sql1" refreshOnLoad="1" connectionId="1" xr16:uid="{99286020-EC46-40EB-B504-B8E66C572835}" autoFormatId="16" applyNumberFormats="0" applyBorderFormats="0" applyFontFormats="0" applyPatternFormats="0" applyAlignmentFormats="0" applyWidthHeightFormats="0">
  <queryTableRefresh nextId="12" unboundColumnsRight="2">
    <queryTableFields count="6">
      <queryTableField id="1" name="Ticker" tableColumnId="1"/>
      <queryTableField id="5" name="Name" tableColumnId="5"/>
      <queryTableField id="7" name="logPriceChange" tableColumnId="7"/>
      <queryTableField id="9" name="Date" tableColumnId="9"/>
      <queryTableField id="10" dataBound="0" tableColumnId="10"/>
      <queryTableField id="11" dataBound="0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D14270A9-17CD-4FE4-A648-9C96B8053D64}" autoFormatId="16" applyNumberFormats="0" applyBorderFormats="0" applyFontFormats="0" applyPatternFormats="0" applyAlignmentFormats="0" applyWidthHeightFormats="0">
  <queryTableRefresh nextId="2">
    <queryTableFields count="1">
      <queryTableField id="1" name="Ticker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ACD42B-C89B-4FCD-9866-28A719A2F013}" name="Table_Query_from_sql1" displayName="Table_Query_from_sql1" ref="A1:F251" tableType="queryTable" totalsRowShown="0">
  <autoFilter ref="A1:F251" xr:uid="{A1E321D1-3D5D-4D04-A513-1770EA52EEEF}"/>
  <tableColumns count="6">
    <tableColumn id="1" xr3:uid="{AA9FA95E-722F-4CD4-8517-966B89C078FD}" uniqueName="1" name="Ticker" queryTableFieldId="1"/>
    <tableColumn id="5" xr3:uid="{88615EE3-9A6A-4C10-83B7-44F80A3E8BF3}" uniqueName="5" name="Name" queryTableFieldId="5"/>
    <tableColumn id="7" xr3:uid="{5BFCCE2A-8BB2-4FDC-9E14-19B16CE3B267}" uniqueName="7" name="logPriceChange" queryTableFieldId="7" dataDxfId="2" dataCellStyle="Percent"/>
    <tableColumn id="9" xr3:uid="{09598980-5A4D-4E14-8FB4-8EF04E331920}" uniqueName="9" name="Date" queryTableFieldId="9" dataDxfId="1" dataCellStyle="Percent"/>
    <tableColumn id="10" xr3:uid="{6AABA7FF-F273-434A-95D6-0CCA8026CF39}" uniqueName="10" name="DateFormatted" queryTableFieldId="10" dataDxfId="0">
      <calculatedColumnFormula>IF(LEN(Table_Query_from_sql1[[#This Row],[Date]])&gt;0,DATE(LEFT(Table_Query_from_sql1[[#This Row],[Date]],4),MID(Table_Query_from_sql1[[#This Row],[Date]],6,2),RIGHT(Table_Query_from_sql1[[#This Row],[Date]],2)),"")</calculatedColumnFormula>
    </tableColumn>
    <tableColumn id="11" xr3:uid="{157A178C-1997-4D77-A895-AA8784E32D0F}" uniqueName="11" name="DateTicker" queryTableFieldId="11" dataDxfId="3">
      <calculatedColumnFormula>Table_Query_from_sql1[[#This Row],[DateFormatted]]&amp;Table_Query_from_sql1[[#This Row],[Ticker]]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E98628F-C971-447B-A4B6-1C6DDB2774CE}" name="Table_ExternalData_1" displayName="Table_ExternalData_1" ref="A1:A98" tableType="queryTable" totalsRowShown="0">
  <autoFilter ref="A1:A98" xr:uid="{F52A3A06-B722-457A-9F4C-2797976D6657}"/>
  <tableColumns count="1">
    <tableColumn id="1" xr3:uid="{F70774B4-2413-4810-9188-6405BF3CE9AD}" uniqueName="1" name="Ticker" queryTableField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143B3-C1C8-445E-8977-C296E1BFBC96}">
  <sheetPr codeName="Sheet1"/>
  <dimension ref="A2:H1029"/>
  <sheetViews>
    <sheetView tabSelected="1" workbookViewId="0">
      <selection activeCell="F12" sqref="F12"/>
    </sheetView>
  </sheetViews>
  <sheetFormatPr defaultRowHeight="15" x14ac:dyDescent="0.25"/>
  <cols>
    <col min="1" max="1" width="12.5703125" customWidth="1"/>
    <col min="2" max="2" width="9.5703125" bestFit="1" customWidth="1"/>
    <col min="3" max="3" width="10.140625" bestFit="1" customWidth="1"/>
    <col min="4" max="4" width="13" customWidth="1"/>
  </cols>
  <sheetData>
    <row r="2" spans="1:8" x14ac:dyDescent="0.25">
      <c r="C2" s="25" t="s">
        <v>0</v>
      </c>
      <c r="D2" s="25" t="s">
        <v>361</v>
      </c>
    </row>
    <row r="3" spans="1:8" x14ac:dyDescent="0.25">
      <c r="A3" s="5" t="str">
        <f>"('"&amp;C3&amp;"'"</f>
        <v>('ABBV'</v>
      </c>
      <c r="B3" s="24" t="s">
        <v>352</v>
      </c>
      <c r="C3" s="26" t="s">
        <v>255</v>
      </c>
      <c r="D3" s="29">
        <f>IF(LEN(C3)&gt;0,$D$379,"")</f>
        <v>-8.1062123332841726E-2</v>
      </c>
    </row>
    <row r="4" spans="1:8" x14ac:dyDescent="0.25">
      <c r="A4" s="5" t="str">
        <f>IF(LEN(C4)&gt;0,",'"&amp;C4&amp;"'","")</f>
        <v/>
      </c>
      <c r="B4" s="7" t="s">
        <v>353</v>
      </c>
      <c r="C4" s="27"/>
      <c r="D4" s="30" t="str">
        <f>IF(LEN(C4)&gt;0,$E$379,"")</f>
        <v/>
      </c>
    </row>
    <row r="5" spans="1:8" x14ac:dyDescent="0.25">
      <c r="A5" s="5" t="str">
        <f t="shared" ref="A5:A7" si="0">IF(LEN(C5)&gt;0,",'"&amp;C5&amp;"'","")</f>
        <v/>
      </c>
      <c r="B5" s="7" t="s">
        <v>354</v>
      </c>
      <c r="C5" s="27"/>
      <c r="D5" s="30" t="str">
        <f>IF(LEN(C5)&gt;0,$F$379,"")</f>
        <v/>
      </c>
    </row>
    <row r="6" spans="1:8" x14ac:dyDescent="0.25">
      <c r="A6" s="5" t="str">
        <f t="shared" si="0"/>
        <v/>
      </c>
      <c r="B6" s="7" t="s">
        <v>355</v>
      </c>
      <c r="C6" s="27"/>
      <c r="D6" s="30" t="str">
        <f>IF(LEN(C6)&gt;0,$G379,"")</f>
        <v/>
      </c>
    </row>
    <row r="7" spans="1:8" x14ac:dyDescent="0.25">
      <c r="A7" s="5" t="str">
        <f t="shared" si="0"/>
        <v/>
      </c>
      <c r="B7" s="12" t="s">
        <v>356</v>
      </c>
      <c r="C7" s="28"/>
      <c r="D7" s="31" t="str">
        <f>IF(LEN(C7)&gt;0,$H$379,"")</f>
        <v/>
      </c>
    </row>
    <row r="8" spans="1:8" x14ac:dyDescent="0.25">
      <c r="A8" s="5" t="str">
        <f>CONCATENATE(A3,A4,A5,A6,A7,")")</f>
        <v>('ABBV')</v>
      </c>
    </row>
    <row r="9" spans="1:8" x14ac:dyDescent="0.25">
      <c r="A9" s="5" t="str">
        <f>"SELECT Ticker, [Name], logPriceChange, [Date] FROM [master].[dbo].[spxPriceChange] WHERE Ticker IN "&amp;A8</f>
        <v>SELECT Ticker, [Name], logPriceChange, [Date] FROM [master].[dbo].[spxPriceChange] WHERE Ticker IN ('ABBV')</v>
      </c>
    </row>
    <row r="11" spans="1:8" x14ac:dyDescent="0.25">
      <c r="B11" s="1" t="s">
        <v>359</v>
      </c>
      <c r="C11" s="6">
        <f>MIN(PriceChangeData!E:E)</f>
        <v>43202</v>
      </c>
      <c r="E11" s="1"/>
    </row>
    <row r="12" spans="1:8" x14ac:dyDescent="0.25">
      <c r="B12" s="1" t="s">
        <v>358</v>
      </c>
      <c r="C12" s="6">
        <f>MAX(PriceChangeData!E:E)</f>
        <v>43564</v>
      </c>
    </row>
    <row r="13" spans="1:8" x14ac:dyDescent="0.25">
      <c r="A13" s="32"/>
    </row>
    <row r="15" spans="1:8" x14ac:dyDescent="0.25">
      <c r="C15" s="13" t="s">
        <v>2</v>
      </c>
      <c r="D15" s="13" t="str">
        <f>IF(LEN(C3)&gt;0,C3,"")</f>
        <v>ABBV</v>
      </c>
      <c r="E15" s="14" t="str">
        <f>IF(LEN(C4)&gt;0,C4,"")</f>
        <v/>
      </c>
      <c r="F15" s="14" t="str">
        <f>IF(LEN(C5)&gt;0,C5,"")</f>
        <v/>
      </c>
      <c r="G15" s="14" t="str">
        <f>IF(LEN(C6)&gt;0,C6,"")</f>
        <v/>
      </c>
      <c r="H15" s="15" t="str">
        <f>IF(LEN(C7)&gt;0,C7,"")</f>
        <v/>
      </c>
    </row>
    <row r="16" spans="1:8" x14ac:dyDescent="0.25">
      <c r="C16" s="16">
        <f>C11-1</f>
        <v>43201</v>
      </c>
      <c r="D16" s="8">
        <v>0</v>
      </c>
      <c r="E16" s="9" t="str">
        <f t="shared" ref="E16:G16" si="1">IF(E15&lt;&gt;"",$D16,"")</f>
        <v/>
      </c>
      <c r="F16" s="9" t="str">
        <f t="shared" si="1"/>
        <v/>
      </c>
      <c r="G16" s="9" t="str">
        <f t="shared" si="1"/>
        <v/>
      </c>
      <c r="H16" s="17" t="str">
        <f>IF(H15&lt;&gt;"",$D16,"")</f>
        <v/>
      </c>
    </row>
    <row r="17" spans="3:8" x14ac:dyDescent="0.25">
      <c r="C17" s="18">
        <f>IFERROR(IF(C16+1&gt;C$12,"",C16+1),"")</f>
        <v>43202</v>
      </c>
      <c r="D17" s="10">
        <f>IF(AND($C17&lt;&gt;"",D$15&lt;&gt;""),IFERROR(INDEX(PriceChangeData!$C:$C,MATCH($C17&amp;D$15,PriceChangeData!$F:$F,0)),0)+D16,"")</f>
        <v>-6.060333107592691E-3</v>
      </c>
      <c r="E17" s="11" t="str">
        <f>IF(AND($C17&lt;&gt;"",E$15&lt;&gt;""),IFERROR(INDEX(PriceChangeData!$C:$C,MATCH($C17&amp;E$15,PriceChangeData!$F:$F,0)),0)+E16,"")</f>
        <v/>
      </c>
      <c r="F17" s="11" t="str">
        <f>IF(AND($C17&lt;&gt;"",F$15&lt;&gt;""),IFERROR(INDEX(PriceChangeData!$C:$C,MATCH($C17&amp;F$15,PriceChangeData!$F:$F,0)),0)+F16,"")</f>
        <v/>
      </c>
      <c r="G17" s="11" t="str">
        <f>IF(AND($C17&lt;&gt;"",G$15&lt;&gt;""),IFERROR(INDEX(PriceChangeData!$C:$C,MATCH($C17&amp;G$15,PriceChangeData!$F:$F,0)),0)+G16,"")</f>
        <v/>
      </c>
      <c r="H17" s="19" t="str">
        <f>IF(AND($C17&lt;&gt;"",H$15&lt;&gt;""),IFERROR(INDEX(PriceChangeData!$C:$C,MATCH($C17&amp;H$15,PriceChangeData!$F:$F,0)),0)+H16,"")</f>
        <v/>
      </c>
    </row>
    <row r="18" spans="3:8" x14ac:dyDescent="0.25">
      <c r="C18" s="18">
        <f t="shared" ref="C18:C81" si="2">IFERROR(IF(C17+1&gt;C$12,"",C17+1),"")</f>
        <v>43203</v>
      </c>
      <c r="D18" s="10">
        <f>IF(AND($C18&lt;&gt;"",D$15&lt;&gt;""),IFERROR(INDEX(PriceChangeData!$C:$C,MATCH($C18&amp;D$15,PriceChangeData!$F:$F,0)),0)+D17,"")</f>
        <v>-9.2134954535971654E-3</v>
      </c>
      <c r="E18" s="11" t="str">
        <f>IF(AND($C18&lt;&gt;"",E$15&lt;&gt;""),IFERROR(INDEX(PriceChangeData!$C:$C,MATCH($C18&amp;E$15,PriceChangeData!$F:$F,0)),0)+E17,"")</f>
        <v/>
      </c>
      <c r="F18" s="11" t="str">
        <f>IF(AND($C18&lt;&gt;"",F$15&lt;&gt;""),IFERROR(INDEX(PriceChangeData!$C:$C,MATCH($C18&amp;F$15,PriceChangeData!$F:$F,0)),0)+F17,"")</f>
        <v/>
      </c>
      <c r="G18" s="11" t="str">
        <f>IF(AND($C18&lt;&gt;"",G$15&lt;&gt;""),IFERROR(INDEX(PriceChangeData!$C:$C,MATCH($C18&amp;G$15,PriceChangeData!$F:$F,0)),0)+G17,"")</f>
        <v/>
      </c>
      <c r="H18" s="19" t="str">
        <f>IF(AND($C18&lt;&gt;"",H$15&lt;&gt;""),IFERROR(INDEX(PriceChangeData!$C:$C,MATCH($C18&amp;H$15,PriceChangeData!$F:$F,0)),0)+H17,"")</f>
        <v/>
      </c>
    </row>
    <row r="19" spans="3:8" x14ac:dyDescent="0.25">
      <c r="C19" s="18">
        <f t="shared" si="2"/>
        <v>43204</v>
      </c>
      <c r="D19" s="10">
        <f>IF(AND($C19&lt;&gt;"",D$15&lt;&gt;""),IFERROR(INDEX(PriceChangeData!$C:$C,MATCH($C19&amp;D$15,PriceChangeData!$F:$F,0)),0)+D18,"")</f>
        <v>-9.2134954535971654E-3</v>
      </c>
      <c r="E19" s="11" t="str">
        <f>IF(AND($C19&lt;&gt;"",E$15&lt;&gt;""),IFERROR(INDEX(PriceChangeData!$C:$C,MATCH($C19&amp;E$15,PriceChangeData!$F:$F,0)),0)+E18,"")</f>
        <v/>
      </c>
      <c r="F19" s="11" t="str">
        <f>IF(AND($C19&lt;&gt;"",F$15&lt;&gt;""),IFERROR(INDEX(PriceChangeData!$C:$C,MATCH($C19&amp;F$15,PriceChangeData!$F:$F,0)),0)+F18,"")</f>
        <v/>
      </c>
      <c r="G19" s="11" t="str">
        <f>IF(AND($C19&lt;&gt;"",G$15&lt;&gt;""),IFERROR(INDEX(PriceChangeData!$C:$C,MATCH($C19&amp;G$15,PriceChangeData!$F:$F,0)),0)+G18,"")</f>
        <v/>
      </c>
      <c r="H19" s="19" t="str">
        <f>IF(AND($C19&lt;&gt;"",H$15&lt;&gt;""),IFERROR(INDEX(PriceChangeData!$C:$C,MATCH($C19&amp;H$15,PriceChangeData!$F:$F,0)),0)+H18,"")</f>
        <v/>
      </c>
    </row>
    <row r="20" spans="3:8" x14ac:dyDescent="0.25">
      <c r="C20" s="18">
        <f t="shared" si="2"/>
        <v>43205</v>
      </c>
      <c r="D20" s="10">
        <f>IF(AND($C20&lt;&gt;"",D$15&lt;&gt;""),IFERROR(INDEX(PriceChangeData!$C:$C,MATCH($C20&amp;D$15,PriceChangeData!$F:$F,0)),0)+D19,"")</f>
        <v>-9.2134954535971654E-3</v>
      </c>
      <c r="E20" s="11" t="str">
        <f>IF(AND($C20&lt;&gt;"",E$15&lt;&gt;""),IFERROR(INDEX(PriceChangeData!$C:$C,MATCH($C20&amp;E$15,PriceChangeData!$F:$F,0)),0)+E19,"")</f>
        <v/>
      </c>
      <c r="F20" s="11" t="str">
        <f>IF(AND($C20&lt;&gt;"",F$15&lt;&gt;""),IFERROR(INDEX(PriceChangeData!$C:$C,MATCH($C20&amp;F$15,PriceChangeData!$F:$F,0)),0)+F19,"")</f>
        <v/>
      </c>
      <c r="G20" s="11" t="str">
        <f>IF(AND($C20&lt;&gt;"",G$15&lt;&gt;""),IFERROR(INDEX(PriceChangeData!$C:$C,MATCH($C20&amp;G$15,PriceChangeData!$F:$F,0)),0)+G19,"")</f>
        <v/>
      </c>
      <c r="H20" s="19" t="str">
        <f>IF(AND($C20&lt;&gt;"",H$15&lt;&gt;""),IFERROR(INDEX(PriceChangeData!$C:$C,MATCH($C20&amp;H$15,PriceChangeData!$F:$F,0)),0)+H19,"")</f>
        <v/>
      </c>
    </row>
    <row r="21" spans="3:8" x14ac:dyDescent="0.25">
      <c r="C21" s="18">
        <f t="shared" si="2"/>
        <v>43206</v>
      </c>
      <c r="D21" s="10">
        <f>IF(AND($C21&lt;&gt;"",D$15&lt;&gt;""),IFERROR(INDEX(PriceChangeData!$C:$C,MATCH($C21&amp;D$15,PriceChangeData!$F:$F,0)),0)+D20,"")</f>
        <v>-8.6351648445623895E-4</v>
      </c>
      <c r="E21" s="11" t="str">
        <f>IF(AND($C21&lt;&gt;"",E$15&lt;&gt;""),IFERROR(INDEX(PriceChangeData!$C:$C,MATCH($C21&amp;E$15,PriceChangeData!$F:$F,0)),0)+E20,"")</f>
        <v/>
      </c>
      <c r="F21" s="11" t="str">
        <f>IF(AND($C21&lt;&gt;"",F$15&lt;&gt;""),IFERROR(INDEX(PriceChangeData!$C:$C,MATCH($C21&amp;F$15,PriceChangeData!$F:$F,0)),0)+F20,"")</f>
        <v/>
      </c>
      <c r="G21" s="11" t="str">
        <f>IF(AND($C21&lt;&gt;"",G$15&lt;&gt;""),IFERROR(INDEX(PriceChangeData!$C:$C,MATCH($C21&amp;G$15,PriceChangeData!$F:$F,0)),0)+G20,"")</f>
        <v/>
      </c>
      <c r="H21" s="19" t="str">
        <f>IF(AND($C21&lt;&gt;"",H$15&lt;&gt;""),IFERROR(INDEX(PriceChangeData!$C:$C,MATCH($C21&amp;H$15,PriceChangeData!$F:$F,0)),0)+H20,"")</f>
        <v/>
      </c>
    </row>
    <row r="22" spans="3:8" x14ac:dyDescent="0.25">
      <c r="C22" s="18">
        <f t="shared" si="2"/>
        <v>43207</v>
      </c>
      <c r="D22" s="10">
        <f>IF(AND($C22&lt;&gt;"",D$15&lt;&gt;""),IFERROR(INDEX(PriceChangeData!$C:$C,MATCH($C22&amp;D$15,PriceChangeData!$F:$F,0)),0)+D21,"")</f>
        <v>9.771202598194929E-3</v>
      </c>
      <c r="E22" s="11" t="str">
        <f>IF(AND($C22&lt;&gt;"",E$15&lt;&gt;""),IFERROR(INDEX(PriceChangeData!$C:$C,MATCH($C22&amp;E$15,PriceChangeData!$F:$F,0)),0)+E21,"")</f>
        <v/>
      </c>
      <c r="F22" s="11" t="str">
        <f>IF(AND($C22&lt;&gt;"",F$15&lt;&gt;""),IFERROR(INDEX(PriceChangeData!$C:$C,MATCH($C22&amp;F$15,PriceChangeData!$F:$F,0)),0)+F21,"")</f>
        <v/>
      </c>
      <c r="G22" s="11" t="str">
        <f>IF(AND($C22&lt;&gt;"",G$15&lt;&gt;""),IFERROR(INDEX(PriceChangeData!$C:$C,MATCH($C22&amp;G$15,PriceChangeData!$F:$F,0)),0)+G21,"")</f>
        <v/>
      </c>
      <c r="H22" s="19" t="str">
        <f>IF(AND($C22&lt;&gt;"",H$15&lt;&gt;""),IFERROR(INDEX(PriceChangeData!$C:$C,MATCH($C22&amp;H$15,PriceChangeData!$F:$F,0)),0)+H21,"")</f>
        <v/>
      </c>
    </row>
    <row r="23" spans="3:8" x14ac:dyDescent="0.25">
      <c r="C23" s="18">
        <f t="shared" si="2"/>
        <v>43208</v>
      </c>
      <c r="D23" s="10">
        <f>IF(AND($C23&lt;&gt;"",D$15&lt;&gt;""),IFERROR(INDEX(PriceChangeData!$C:$C,MATCH($C23&amp;D$15,PriceChangeData!$F:$F,0)),0)+D22,"")</f>
        <v>1.7540818669036833E-2</v>
      </c>
      <c r="E23" s="11" t="str">
        <f>IF(AND($C23&lt;&gt;"",E$15&lt;&gt;""),IFERROR(INDEX(PriceChangeData!$C:$C,MATCH($C23&amp;E$15,PriceChangeData!$F:$F,0)),0)+E22,"")</f>
        <v/>
      </c>
      <c r="F23" s="11" t="str">
        <f>IF(AND($C23&lt;&gt;"",F$15&lt;&gt;""),IFERROR(INDEX(PriceChangeData!$C:$C,MATCH($C23&amp;F$15,PriceChangeData!$F:$F,0)),0)+F22,"")</f>
        <v/>
      </c>
      <c r="G23" s="11" t="str">
        <f>IF(AND($C23&lt;&gt;"",G$15&lt;&gt;""),IFERROR(INDEX(PriceChangeData!$C:$C,MATCH($C23&amp;G$15,PriceChangeData!$F:$F,0)),0)+G22,"")</f>
        <v/>
      </c>
      <c r="H23" s="19" t="str">
        <f>IF(AND($C23&lt;&gt;"",H$15&lt;&gt;""),IFERROR(INDEX(PriceChangeData!$C:$C,MATCH($C23&amp;H$15,PriceChangeData!$F:$F,0)),0)+H22,"")</f>
        <v/>
      </c>
    </row>
    <row r="24" spans="3:8" x14ac:dyDescent="0.25">
      <c r="C24" s="18">
        <f t="shared" si="2"/>
        <v>43209</v>
      </c>
      <c r="D24" s="10">
        <f>IF(AND($C24&lt;&gt;"",D$15&lt;&gt;""),IFERROR(INDEX(PriceChangeData!$C:$C,MATCH($C24&amp;D$15,PriceChangeData!$F:$F,0)),0)+D23,"")</f>
        <v>3.5544223587451289E-3</v>
      </c>
      <c r="E24" s="11" t="str">
        <f>IF(AND($C24&lt;&gt;"",E$15&lt;&gt;""),IFERROR(INDEX(PriceChangeData!$C:$C,MATCH($C24&amp;E$15,PriceChangeData!$F:$F,0)),0)+E23,"")</f>
        <v/>
      </c>
      <c r="F24" s="11" t="str">
        <f>IF(AND($C24&lt;&gt;"",F$15&lt;&gt;""),IFERROR(INDEX(PriceChangeData!$C:$C,MATCH($C24&amp;F$15,PriceChangeData!$F:$F,0)),0)+F23,"")</f>
        <v/>
      </c>
      <c r="G24" s="11" t="str">
        <f>IF(AND($C24&lt;&gt;"",G$15&lt;&gt;""),IFERROR(INDEX(PriceChangeData!$C:$C,MATCH($C24&amp;G$15,PriceChangeData!$F:$F,0)),0)+G23,"")</f>
        <v/>
      </c>
      <c r="H24" s="19" t="str">
        <f>IF(AND($C24&lt;&gt;"",H$15&lt;&gt;""),IFERROR(INDEX(PriceChangeData!$C:$C,MATCH($C24&amp;H$15,PriceChangeData!$F:$F,0)),0)+H23,"")</f>
        <v/>
      </c>
    </row>
    <row r="25" spans="3:8" x14ac:dyDescent="0.25">
      <c r="C25" s="18">
        <f t="shared" si="2"/>
        <v>43210</v>
      </c>
      <c r="D25" s="10">
        <f>IF(AND($C25&lt;&gt;"",D$15&lt;&gt;""),IFERROR(INDEX(PriceChangeData!$C:$C,MATCH($C25&amp;D$15,PriceChangeData!$F:$F,0)),0)+D24,"")</f>
        <v>-8.6351648445619211E-4</v>
      </c>
      <c r="E25" s="11" t="str">
        <f>IF(AND($C25&lt;&gt;"",E$15&lt;&gt;""),IFERROR(INDEX(PriceChangeData!$C:$C,MATCH($C25&amp;E$15,PriceChangeData!$F:$F,0)),0)+E24,"")</f>
        <v/>
      </c>
      <c r="F25" s="11" t="str">
        <f>IF(AND($C25&lt;&gt;"",F$15&lt;&gt;""),IFERROR(INDEX(PriceChangeData!$C:$C,MATCH($C25&amp;F$15,PriceChangeData!$F:$F,0)),0)+F24,"")</f>
        <v/>
      </c>
      <c r="G25" s="11" t="str">
        <f>IF(AND($C25&lt;&gt;"",G$15&lt;&gt;""),IFERROR(INDEX(PriceChangeData!$C:$C,MATCH($C25&amp;G$15,PriceChangeData!$F:$F,0)),0)+G24,"")</f>
        <v/>
      </c>
      <c r="H25" s="19" t="str">
        <f>IF(AND($C25&lt;&gt;"",H$15&lt;&gt;""),IFERROR(INDEX(PriceChangeData!$C:$C,MATCH($C25&amp;H$15,PriceChangeData!$F:$F,0)),0)+H24,"")</f>
        <v/>
      </c>
    </row>
    <row r="26" spans="3:8" x14ac:dyDescent="0.25">
      <c r="C26" s="18">
        <f t="shared" si="2"/>
        <v>43211</v>
      </c>
      <c r="D26" s="10">
        <f>IF(AND($C26&lt;&gt;"",D$15&lt;&gt;""),IFERROR(INDEX(PriceChangeData!$C:$C,MATCH($C26&amp;D$15,PriceChangeData!$F:$F,0)),0)+D25,"")</f>
        <v>-8.6351648445619211E-4</v>
      </c>
      <c r="E26" s="11" t="str">
        <f>IF(AND($C26&lt;&gt;"",E$15&lt;&gt;""),IFERROR(INDEX(PriceChangeData!$C:$C,MATCH($C26&amp;E$15,PriceChangeData!$F:$F,0)),0)+E25,"")</f>
        <v/>
      </c>
      <c r="F26" s="11" t="str">
        <f>IF(AND($C26&lt;&gt;"",F$15&lt;&gt;""),IFERROR(INDEX(PriceChangeData!$C:$C,MATCH($C26&amp;F$15,PriceChangeData!$F:$F,0)),0)+F25,"")</f>
        <v/>
      </c>
      <c r="G26" s="11" t="str">
        <f>IF(AND($C26&lt;&gt;"",G$15&lt;&gt;""),IFERROR(INDEX(PriceChangeData!$C:$C,MATCH($C26&amp;G$15,PriceChangeData!$F:$F,0)),0)+G25,"")</f>
        <v/>
      </c>
      <c r="H26" s="19" t="str">
        <f>IF(AND($C26&lt;&gt;"",H$15&lt;&gt;""),IFERROR(INDEX(PriceChangeData!$C:$C,MATCH($C26&amp;H$15,PriceChangeData!$F:$F,0)),0)+H25,"")</f>
        <v/>
      </c>
    </row>
    <row r="27" spans="3:8" x14ac:dyDescent="0.25">
      <c r="C27" s="18">
        <f t="shared" si="2"/>
        <v>43212</v>
      </c>
      <c r="D27" s="10">
        <f>IF(AND($C27&lt;&gt;"",D$15&lt;&gt;""),IFERROR(INDEX(PriceChangeData!$C:$C,MATCH($C27&amp;D$15,PriceChangeData!$F:$F,0)),0)+D26,"")</f>
        <v>-8.6351648445619211E-4</v>
      </c>
      <c r="E27" s="11" t="str">
        <f>IF(AND($C27&lt;&gt;"",E$15&lt;&gt;""),IFERROR(INDEX(PriceChangeData!$C:$C,MATCH($C27&amp;E$15,PriceChangeData!$F:$F,0)),0)+E26,"")</f>
        <v/>
      </c>
      <c r="F27" s="11" t="str">
        <f>IF(AND($C27&lt;&gt;"",F$15&lt;&gt;""),IFERROR(INDEX(PriceChangeData!$C:$C,MATCH($C27&amp;F$15,PriceChangeData!$F:$F,0)),0)+F26,"")</f>
        <v/>
      </c>
      <c r="G27" s="11" t="str">
        <f>IF(AND($C27&lt;&gt;"",G$15&lt;&gt;""),IFERROR(INDEX(PriceChangeData!$C:$C,MATCH($C27&amp;G$15,PriceChangeData!$F:$F,0)),0)+G26,"")</f>
        <v/>
      </c>
      <c r="H27" s="19" t="str">
        <f>IF(AND($C27&lt;&gt;"",H$15&lt;&gt;""),IFERROR(INDEX(PriceChangeData!$C:$C,MATCH($C27&amp;H$15,PriceChangeData!$F:$F,0)),0)+H26,"")</f>
        <v/>
      </c>
    </row>
    <row r="28" spans="3:8" x14ac:dyDescent="0.25">
      <c r="C28" s="18">
        <f t="shared" si="2"/>
        <v>43213</v>
      </c>
      <c r="D28" s="10">
        <f>IF(AND($C28&lt;&gt;"",D$15&lt;&gt;""),IFERROR(INDEX(PriceChangeData!$C:$C,MATCH($C28&amp;D$15,PriceChangeData!$F:$F,0)),0)+D27,"")</f>
        <v>5.2731070335330739E-3</v>
      </c>
      <c r="E28" s="11" t="str">
        <f>IF(AND($C28&lt;&gt;"",E$15&lt;&gt;""),IFERROR(INDEX(PriceChangeData!$C:$C,MATCH($C28&amp;E$15,PriceChangeData!$F:$F,0)),0)+E27,"")</f>
        <v/>
      </c>
      <c r="F28" s="11" t="str">
        <f>IF(AND($C28&lt;&gt;"",F$15&lt;&gt;""),IFERROR(INDEX(PriceChangeData!$C:$C,MATCH($C28&amp;F$15,PriceChangeData!$F:$F,0)),0)+F27,"")</f>
        <v/>
      </c>
      <c r="G28" s="11" t="str">
        <f>IF(AND($C28&lt;&gt;"",G$15&lt;&gt;""),IFERROR(INDEX(PriceChangeData!$C:$C,MATCH($C28&amp;G$15,PriceChangeData!$F:$F,0)),0)+G27,"")</f>
        <v/>
      </c>
      <c r="H28" s="19" t="str">
        <f>IF(AND($C28&lt;&gt;"",H$15&lt;&gt;""),IFERROR(INDEX(PriceChangeData!$C:$C,MATCH($C28&amp;H$15,PriceChangeData!$F:$F,0)),0)+H27,"")</f>
        <v/>
      </c>
    </row>
    <row r="29" spans="3:8" x14ac:dyDescent="0.25">
      <c r="C29" s="18">
        <f t="shared" si="2"/>
        <v>43214</v>
      </c>
      <c r="D29" s="10">
        <f>IF(AND($C29&lt;&gt;"",D$15&lt;&gt;""),IFERROR(INDEX(PriceChangeData!$C:$C,MATCH($C29&amp;D$15,PriceChangeData!$F:$F,0)),0)+D28,"")</f>
        <v>-1.4345392108931803E-2</v>
      </c>
      <c r="E29" s="11" t="str">
        <f>IF(AND($C29&lt;&gt;"",E$15&lt;&gt;""),IFERROR(INDEX(PriceChangeData!$C:$C,MATCH($C29&amp;E$15,PriceChangeData!$F:$F,0)),0)+E28,"")</f>
        <v/>
      </c>
      <c r="F29" s="11" t="str">
        <f>IF(AND($C29&lt;&gt;"",F$15&lt;&gt;""),IFERROR(INDEX(PriceChangeData!$C:$C,MATCH($C29&amp;F$15,PriceChangeData!$F:$F,0)),0)+F28,"")</f>
        <v/>
      </c>
      <c r="G29" s="11" t="str">
        <f>IF(AND($C29&lt;&gt;"",G$15&lt;&gt;""),IFERROR(INDEX(PriceChangeData!$C:$C,MATCH($C29&amp;G$15,PriceChangeData!$F:$F,0)),0)+G28,"")</f>
        <v/>
      </c>
      <c r="H29" s="19" t="str">
        <f>IF(AND($C29&lt;&gt;"",H$15&lt;&gt;""),IFERROR(INDEX(PriceChangeData!$C:$C,MATCH($C29&amp;H$15,PriceChangeData!$F:$F,0)),0)+H28,"")</f>
        <v/>
      </c>
    </row>
    <row r="30" spans="3:8" x14ac:dyDescent="0.25">
      <c r="C30" s="18">
        <f t="shared" si="2"/>
        <v>43215</v>
      </c>
      <c r="D30" s="10">
        <f>IF(AND($C30&lt;&gt;"",D$15&lt;&gt;""),IFERROR(INDEX(PriceChangeData!$C:$C,MATCH($C30&amp;D$15,PriceChangeData!$F:$F,0)),0)+D29,"")</f>
        <v>-8.7780237447805595E-3</v>
      </c>
      <c r="E30" s="11" t="str">
        <f>IF(AND($C30&lt;&gt;"",E$15&lt;&gt;""),IFERROR(INDEX(PriceChangeData!$C:$C,MATCH($C30&amp;E$15,PriceChangeData!$F:$F,0)),0)+E29,"")</f>
        <v/>
      </c>
      <c r="F30" s="11" t="str">
        <f>IF(AND($C30&lt;&gt;"",F$15&lt;&gt;""),IFERROR(INDEX(PriceChangeData!$C:$C,MATCH($C30&amp;F$15,PriceChangeData!$F:$F,0)),0)+F29,"")</f>
        <v/>
      </c>
      <c r="G30" s="11" t="str">
        <f>IF(AND($C30&lt;&gt;"",G$15&lt;&gt;""),IFERROR(INDEX(PriceChangeData!$C:$C,MATCH($C30&amp;G$15,PriceChangeData!$F:$F,0)),0)+G29,"")</f>
        <v/>
      </c>
      <c r="H30" s="19" t="str">
        <f>IF(AND($C30&lt;&gt;"",H$15&lt;&gt;""),IFERROR(INDEX(PriceChangeData!$C:$C,MATCH($C30&amp;H$15,PriceChangeData!$F:$F,0)),0)+H29,"")</f>
        <v/>
      </c>
    </row>
    <row r="31" spans="3:8" x14ac:dyDescent="0.25">
      <c r="C31" s="18">
        <f t="shared" si="2"/>
        <v>43216</v>
      </c>
      <c r="D31" s="10">
        <f>IF(AND($C31&lt;&gt;"",D$15&lt;&gt;""),IFERROR(INDEX(PriceChangeData!$C:$C,MATCH($C31&amp;D$15,PriceChangeData!$F:$F,0)),0)+D30,"")</f>
        <v>5.0083883285535029E-2</v>
      </c>
      <c r="E31" s="11" t="str">
        <f>IF(AND($C31&lt;&gt;"",E$15&lt;&gt;""),IFERROR(INDEX(PriceChangeData!$C:$C,MATCH($C31&amp;E$15,PriceChangeData!$F:$F,0)),0)+E30,"")</f>
        <v/>
      </c>
      <c r="F31" s="11" t="str">
        <f>IF(AND($C31&lt;&gt;"",F$15&lt;&gt;""),IFERROR(INDEX(PriceChangeData!$C:$C,MATCH($C31&amp;F$15,PriceChangeData!$F:$F,0)),0)+F30,"")</f>
        <v/>
      </c>
      <c r="G31" s="11" t="str">
        <f>IF(AND($C31&lt;&gt;"",G$15&lt;&gt;""),IFERROR(INDEX(PriceChangeData!$C:$C,MATCH($C31&amp;G$15,PriceChangeData!$F:$F,0)),0)+G30,"")</f>
        <v/>
      </c>
      <c r="H31" s="19" t="str">
        <f>IF(AND($C31&lt;&gt;"",H$15&lt;&gt;""),IFERROR(INDEX(PriceChangeData!$C:$C,MATCH($C31&amp;H$15,PriceChangeData!$F:$F,0)),0)+H30,"")</f>
        <v/>
      </c>
    </row>
    <row r="32" spans="3:8" x14ac:dyDescent="0.25">
      <c r="C32" s="18">
        <f t="shared" si="2"/>
        <v>43217</v>
      </c>
      <c r="D32" s="10">
        <f>IF(AND($C32&lt;&gt;"",D$15&lt;&gt;""),IFERROR(INDEX(PriceChangeData!$C:$C,MATCH($C32&amp;D$15,PriceChangeData!$F:$F,0)),0)+D31,"")</f>
        <v>6.3236615839039945E-2</v>
      </c>
      <c r="E32" s="11" t="str">
        <f>IF(AND($C32&lt;&gt;"",E$15&lt;&gt;""),IFERROR(INDEX(PriceChangeData!$C:$C,MATCH($C32&amp;E$15,PriceChangeData!$F:$F,0)),0)+E31,"")</f>
        <v/>
      </c>
      <c r="F32" s="11" t="str">
        <f>IF(AND($C32&lt;&gt;"",F$15&lt;&gt;""),IFERROR(INDEX(PriceChangeData!$C:$C,MATCH($C32&amp;F$15,PriceChangeData!$F:$F,0)),0)+F31,"")</f>
        <v/>
      </c>
      <c r="G32" s="11" t="str">
        <f>IF(AND($C32&lt;&gt;"",G$15&lt;&gt;""),IFERROR(INDEX(PriceChangeData!$C:$C,MATCH($C32&amp;G$15,PriceChangeData!$F:$F,0)),0)+G31,"")</f>
        <v/>
      </c>
      <c r="H32" s="19" t="str">
        <f>IF(AND($C32&lt;&gt;"",H$15&lt;&gt;""),IFERROR(INDEX(PriceChangeData!$C:$C,MATCH($C32&amp;H$15,PriceChangeData!$F:$F,0)),0)+H31,"")</f>
        <v/>
      </c>
    </row>
    <row r="33" spans="3:8" x14ac:dyDescent="0.25">
      <c r="C33" s="18">
        <f t="shared" si="2"/>
        <v>43218</v>
      </c>
      <c r="D33" s="10">
        <f>IF(AND($C33&lt;&gt;"",D$15&lt;&gt;""),IFERROR(INDEX(PriceChangeData!$C:$C,MATCH($C33&amp;D$15,PriceChangeData!$F:$F,0)),0)+D32,"")</f>
        <v>6.3236615839039945E-2</v>
      </c>
      <c r="E33" s="11" t="str">
        <f>IF(AND($C33&lt;&gt;"",E$15&lt;&gt;""),IFERROR(INDEX(PriceChangeData!$C:$C,MATCH($C33&amp;E$15,PriceChangeData!$F:$F,0)),0)+E32,"")</f>
        <v/>
      </c>
      <c r="F33" s="11" t="str">
        <f>IF(AND($C33&lt;&gt;"",F$15&lt;&gt;""),IFERROR(INDEX(PriceChangeData!$C:$C,MATCH($C33&amp;F$15,PriceChangeData!$F:$F,0)),0)+F32,"")</f>
        <v/>
      </c>
      <c r="G33" s="11" t="str">
        <f>IF(AND($C33&lt;&gt;"",G$15&lt;&gt;""),IFERROR(INDEX(PriceChangeData!$C:$C,MATCH($C33&amp;G$15,PriceChangeData!$F:$F,0)),0)+G32,"")</f>
        <v/>
      </c>
      <c r="H33" s="19" t="str">
        <f>IF(AND($C33&lt;&gt;"",H$15&lt;&gt;""),IFERROR(INDEX(PriceChangeData!$C:$C,MATCH($C33&amp;H$15,PriceChangeData!$F:$F,0)),0)+H32,"")</f>
        <v/>
      </c>
    </row>
    <row r="34" spans="3:8" x14ac:dyDescent="0.25">
      <c r="C34" s="18">
        <f t="shared" si="2"/>
        <v>43219</v>
      </c>
      <c r="D34" s="10">
        <f>IF(AND($C34&lt;&gt;"",D$15&lt;&gt;""),IFERROR(INDEX(PriceChangeData!$C:$C,MATCH($C34&amp;D$15,PriceChangeData!$F:$F,0)),0)+D33,"")</f>
        <v>6.3236615839039945E-2</v>
      </c>
      <c r="E34" s="11" t="str">
        <f>IF(AND($C34&lt;&gt;"",E$15&lt;&gt;""),IFERROR(INDEX(PriceChangeData!$C:$C,MATCH($C34&amp;E$15,PriceChangeData!$F:$F,0)),0)+E33,"")</f>
        <v/>
      </c>
      <c r="F34" s="11" t="str">
        <f>IF(AND($C34&lt;&gt;"",F$15&lt;&gt;""),IFERROR(INDEX(PriceChangeData!$C:$C,MATCH($C34&amp;F$15,PriceChangeData!$F:$F,0)),0)+F33,"")</f>
        <v/>
      </c>
      <c r="G34" s="11" t="str">
        <f>IF(AND($C34&lt;&gt;"",G$15&lt;&gt;""),IFERROR(INDEX(PriceChangeData!$C:$C,MATCH($C34&amp;G$15,PriceChangeData!$F:$F,0)),0)+G33,"")</f>
        <v/>
      </c>
      <c r="H34" s="19" t="str">
        <f>IF(AND($C34&lt;&gt;"",H$15&lt;&gt;""),IFERROR(INDEX(PriceChangeData!$C:$C,MATCH($C34&amp;H$15,PriceChangeData!$F:$F,0)),0)+H33,"")</f>
        <v/>
      </c>
    </row>
    <row r="35" spans="3:8" x14ac:dyDescent="0.25">
      <c r="C35" s="18">
        <f t="shared" si="2"/>
        <v>43220</v>
      </c>
      <c r="D35" s="10">
        <f>IF(AND($C35&lt;&gt;"",D$15&lt;&gt;""),IFERROR(INDEX(PriceChangeData!$C:$C,MATCH($C35&amp;D$15,PriceChangeData!$F:$F,0)),0)+D34,"")</f>
        <v>4.0908260568458796E-2</v>
      </c>
      <c r="E35" s="11" t="str">
        <f>IF(AND($C35&lt;&gt;"",E$15&lt;&gt;""),IFERROR(INDEX(PriceChangeData!$C:$C,MATCH($C35&amp;E$15,PriceChangeData!$F:$F,0)),0)+E34,"")</f>
        <v/>
      </c>
      <c r="F35" s="11" t="str">
        <f>IF(AND($C35&lt;&gt;"",F$15&lt;&gt;""),IFERROR(INDEX(PriceChangeData!$C:$C,MATCH($C35&amp;F$15,PriceChangeData!$F:$F,0)),0)+F34,"")</f>
        <v/>
      </c>
      <c r="G35" s="11" t="str">
        <f>IF(AND($C35&lt;&gt;"",G$15&lt;&gt;""),IFERROR(INDEX(PriceChangeData!$C:$C,MATCH($C35&amp;G$15,PriceChangeData!$F:$F,0)),0)+G34,"")</f>
        <v/>
      </c>
      <c r="H35" s="19" t="str">
        <f>IF(AND($C35&lt;&gt;"",H$15&lt;&gt;""),IFERROR(INDEX(PriceChangeData!$C:$C,MATCH($C35&amp;H$15,PriceChangeData!$F:$F,0)),0)+H34,"")</f>
        <v/>
      </c>
    </row>
    <row r="36" spans="3:8" x14ac:dyDescent="0.25">
      <c r="C36" s="18">
        <f t="shared" si="2"/>
        <v>43221</v>
      </c>
      <c r="D36" s="10">
        <f>IF(AND($C36&lt;&gt;"",D$15&lt;&gt;""),IFERROR(INDEX(PriceChangeData!$C:$C,MATCH($C36&amp;D$15,PriceChangeData!$F:$F,0)),0)+D35,"")</f>
        <v>9.6506551197394555E-2</v>
      </c>
      <c r="E36" s="11" t="str">
        <f>IF(AND($C36&lt;&gt;"",E$15&lt;&gt;""),IFERROR(INDEX(PriceChangeData!$C:$C,MATCH($C36&amp;E$15,PriceChangeData!$F:$F,0)),0)+E35,"")</f>
        <v/>
      </c>
      <c r="F36" s="11" t="str">
        <f>IF(AND($C36&lt;&gt;"",F$15&lt;&gt;""),IFERROR(INDEX(PriceChangeData!$C:$C,MATCH($C36&amp;F$15,PriceChangeData!$F:$F,0)),0)+F35,"")</f>
        <v/>
      </c>
      <c r="G36" s="11" t="str">
        <f>IF(AND($C36&lt;&gt;"",G$15&lt;&gt;""),IFERROR(INDEX(PriceChangeData!$C:$C,MATCH($C36&amp;G$15,PriceChangeData!$F:$F,0)),0)+G35,"")</f>
        <v/>
      </c>
      <c r="H36" s="19" t="str">
        <f>IF(AND($C36&lt;&gt;"",H$15&lt;&gt;""),IFERROR(INDEX(PriceChangeData!$C:$C,MATCH($C36&amp;H$15,PriceChangeData!$F:$F,0)),0)+H35,"")</f>
        <v/>
      </c>
    </row>
    <row r="37" spans="3:8" x14ac:dyDescent="0.25">
      <c r="C37" s="18">
        <f t="shared" si="2"/>
        <v>43222</v>
      </c>
      <c r="D37" s="10">
        <f>IF(AND($C37&lt;&gt;"",D$15&lt;&gt;""),IFERROR(INDEX(PriceChangeData!$C:$C,MATCH($C37&amp;D$15,PriceChangeData!$F:$F,0)),0)+D36,"")</f>
        <v>7.9710330942647345E-2</v>
      </c>
      <c r="E37" s="11" t="str">
        <f>IF(AND($C37&lt;&gt;"",E$15&lt;&gt;""),IFERROR(INDEX(PriceChangeData!$C:$C,MATCH($C37&amp;E$15,PriceChangeData!$F:$F,0)),0)+E36,"")</f>
        <v/>
      </c>
      <c r="F37" s="11" t="str">
        <f>IF(AND($C37&lt;&gt;"",F$15&lt;&gt;""),IFERROR(INDEX(PriceChangeData!$C:$C,MATCH($C37&amp;F$15,PriceChangeData!$F:$F,0)),0)+F36,"")</f>
        <v/>
      </c>
      <c r="G37" s="11" t="str">
        <f>IF(AND($C37&lt;&gt;"",G$15&lt;&gt;""),IFERROR(INDEX(PriceChangeData!$C:$C,MATCH($C37&amp;G$15,PriceChangeData!$F:$F,0)),0)+G36,"")</f>
        <v/>
      </c>
      <c r="H37" s="19" t="str">
        <f>IF(AND($C37&lt;&gt;"",H$15&lt;&gt;""),IFERROR(INDEX(PriceChangeData!$C:$C,MATCH($C37&amp;H$15,PriceChangeData!$F:$F,0)),0)+H36,"")</f>
        <v/>
      </c>
    </row>
    <row r="38" spans="3:8" x14ac:dyDescent="0.25">
      <c r="C38" s="18">
        <f t="shared" si="2"/>
        <v>43223</v>
      </c>
      <c r="D38" s="10">
        <f>IF(AND($C38&lt;&gt;"",D$15&lt;&gt;""),IFERROR(INDEX(PriceChangeData!$C:$C,MATCH($C38&amp;D$15,PriceChangeData!$F:$F,0)),0)+D37,"")</f>
        <v>7.8814062142134017E-2</v>
      </c>
      <c r="E38" s="11" t="str">
        <f>IF(AND($C38&lt;&gt;"",E$15&lt;&gt;""),IFERROR(INDEX(PriceChangeData!$C:$C,MATCH($C38&amp;E$15,PriceChangeData!$F:$F,0)),0)+E37,"")</f>
        <v/>
      </c>
      <c r="F38" s="11" t="str">
        <f>IF(AND($C38&lt;&gt;"",F$15&lt;&gt;""),IFERROR(INDEX(PriceChangeData!$C:$C,MATCH($C38&amp;F$15,PriceChangeData!$F:$F,0)),0)+F37,"")</f>
        <v/>
      </c>
      <c r="G38" s="11" t="str">
        <f>IF(AND($C38&lt;&gt;"",G$15&lt;&gt;""),IFERROR(INDEX(PriceChangeData!$C:$C,MATCH($C38&amp;G$15,PriceChangeData!$F:$F,0)),0)+G37,"")</f>
        <v/>
      </c>
      <c r="H38" s="19" t="str">
        <f>IF(AND($C38&lt;&gt;"",H$15&lt;&gt;""),IFERROR(INDEX(PriceChangeData!$C:$C,MATCH($C38&amp;H$15,PriceChangeData!$F:$F,0)),0)+H37,"")</f>
        <v/>
      </c>
    </row>
    <row r="39" spans="3:8" x14ac:dyDescent="0.25">
      <c r="C39" s="18">
        <f t="shared" si="2"/>
        <v>43224</v>
      </c>
      <c r="D39" s="10">
        <f>IF(AND($C39&lt;&gt;"",D$15&lt;&gt;""),IFERROR(INDEX(PriceChangeData!$C:$C,MATCH($C39&amp;D$15,PriceChangeData!$F:$F,0)),0)+D38,"")</f>
        <v>7.7715810829212015E-2</v>
      </c>
      <c r="E39" s="11" t="str">
        <f>IF(AND($C39&lt;&gt;"",E$15&lt;&gt;""),IFERROR(INDEX(PriceChangeData!$C:$C,MATCH($C39&amp;E$15,PriceChangeData!$F:$F,0)),0)+E38,"")</f>
        <v/>
      </c>
      <c r="F39" s="11" t="str">
        <f>IF(AND($C39&lt;&gt;"",F$15&lt;&gt;""),IFERROR(INDEX(PriceChangeData!$C:$C,MATCH($C39&amp;F$15,PriceChangeData!$F:$F,0)),0)+F38,"")</f>
        <v/>
      </c>
      <c r="G39" s="11" t="str">
        <f>IF(AND($C39&lt;&gt;"",G$15&lt;&gt;""),IFERROR(INDEX(PriceChangeData!$C:$C,MATCH($C39&amp;G$15,PriceChangeData!$F:$F,0)),0)+G38,"")</f>
        <v/>
      </c>
      <c r="H39" s="19" t="str">
        <f>IF(AND($C39&lt;&gt;"",H$15&lt;&gt;""),IFERROR(INDEX(PriceChangeData!$C:$C,MATCH($C39&amp;H$15,PriceChangeData!$F:$F,0)),0)+H38,"")</f>
        <v/>
      </c>
    </row>
    <row r="40" spans="3:8" x14ac:dyDescent="0.25">
      <c r="C40" s="18">
        <f t="shared" si="2"/>
        <v>43225</v>
      </c>
      <c r="D40" s="10">
        <f>IF(AND($C40&lt;&gt;"",D$15&lt;&gt;""),IFERROR(INDEX(PriceChangeData!$C:$C,MATCH($C40&amp;D$15,PriceChangeData!$F:$F,0)),0)+D39,"")</f>
        <v>7.7715810829212015E-2</v>
      </c>
      <c r="E40" s="11" t="str">
        <f>IF(AND($C40&lt;&gt;"",E$15&lt;&gt;""),IFERROR(INDEX(PriceChangeData!$C:$C,MATCH($C40&amp;E$15,PriceChangeData!$F:$F,0)),0)+E39,"")</f>
        <v/>
      </c>
      <c r="F40" s="11" t="str">
        <f>IF(AND($C40&lt;&gt;"",F$15&lt;&gt;""),IFERROR(INDEX(PriceChangeData!$C:$C,MATCH($C40&amp;F$15,PriceChangeData!$F:$F,0)),0)+F39,"")</f>
        <v/>
      </c>
      <c r="G40" s="11" t="str">
        <f>IF(AND($C40&lt;&gt;"",G$15&lt;&gt;""),IFERROR(INDEX(PriceChangeData!$C:$C,MATCH($C40&amp;G$15,PriceChangeData!$F:$F,0)),0)+G39,"")</f>
        <v/>
      </c>
      <c r="H40" s="19" t="str">
        <f>IF(AND($C40&lt;&gt;"",H$15&lt;&gt;""),IFERROR(INDEX(PriceChangeData!$C:$C,MATCH($C40&amp;H$15,PriceChangeData!$F:$F,0)),0)+H39,"")</f>
        <v/>
      </c>
    </row>
    <row r="41" spans="3:8" x14ac:dyDescent="0.25">
      <c r="C41" s="18">
        <f t="shared" si="2"/>
        <v>43226</v>
      </c>
      <c r="D41" s="10">
        <f>IF(AND($C41&lt;&gt;"",D$15&lt;&gt;""),IFERROR(INDEX(PriceChangeData!$C:$C,MATCH($C41&amp;D$15,PriceChangeData!$F:$F,0)),0)+D40,"")</f>
        <v>7.7715810829212015E-2</v>
      </c>
      <c r="E41" s="11" t="str">
        <f>IF(AND($C41&lt;&gt;"",E$15&lt;&gt;""),IFERROR(INDEX(PriceChangeData!$C:$C,MATCH($C41&amp;E$15,PriceChangeData!$F:$F,0)),0)+E40,"")</f>
        <v/>
      </c>
      <c r="F41" s="11" t="str">
        <f>IF(AND($C41&lt;&gt;"",F$15&lt;&gt;""),IFERROR(INDEX(PriceChangeData!$C:$C,MATCH($C41&amp;F$15,PriceChangeData!$F:$F,0)),0)+F40,"")</f>
        <v/>
      </c>
      <c r="G41" s="11" t="str">
        <f>IF(AND($C41&lt;&gt;"",G$15&lt;&gt;""),IFERROR(INDEX(PriceChangeData!$C:$C,MATCH($C41&amp;G$15,PriceChangeData!$F:$F,0)),0)+G40,"")</f>
        <v/>
      </c>
      <c r="H41" s="19" t="str">
        <f>IF(AND($C41&lt;&gt;"",H$15&lt;&gt;""),IFERROR(INDEX(PriceChangeData!$C:$C,MATCH($C41&amp;H$15,PriceChangeData!$F:$F,0)),0)+H40,"")</f>
        <v/>
      </c>
    </row>
    <row r="42" spans="3:8" x14ac:dyDescent="0.25">
      <c r="C42" s="18">
        <f t="shared" si="2"/>
        <v>43227</v>
      </c>
      <c r="D42" s="10">
        <f>IF(AND($C42&lt;&gt;"",D$15&lt;&gt;""),IFERROR(INDEX(PriceChangeData!$C:$C,MATCH($C42&amp;D$15,PriceChangeData!$F:$F,0)),0)+D41,"")</f>
        <v>7.2311169598495845E-2</v>
      </c>
      <c r="E42" s="11" t="str">
        <f>IF(AND($C42&lt;&gt;"",E$15&lt;&gt;""),IFERROR(INDEX(PriceChangeData!$C:$C,MATCH($C42&amp;E$15,PriceChangeData!$F:$F,0)),0)+E41,"")</f>
        <v/>
      </c>
      <c r="F42" s="11" t="str">
        <f>IF(AND($C42&lt;&gt;"",F$15&lt;&gt;""),IFERROR(INDEX(PriceChangeData!$C:$C,MATCH($C42&amp;F$15,PriceChangeData!$F:$F,0)),0)+F41,"")</f>
        <v/>
      </c>
      <c r="G42" s="11" t="str">
        <f>IF(AND($C42&lt;&gt;"",G$15&lt;&gt;""),IFERROR(INDEX(PriceChangeData!$C:$C,MATCH($C42&amp;G$15,PriceChangeData!$F:$F,0)),0)+G41,"")</f>
        <v/>
      </c>
      <c r="H42" s="19" t="str">
        <f>IF(AND($C42&lt;&gt;"",H$15&lt;&gt;""),IFERROR(INDEX(PriceChangeData!$C:$C,MATCH($C42&amp;H$15,PriceChangeData!$F:$F,0)),0)+H41,"")</f>
        <v/>
      </c>
    </row>
    <row r="43" spans="3:8" x14ac:dyDescent="0.25">
      <c r="C43" s="18">
        <f t="shared" si="2"/>
        <v>43228</v>
      </c>
      <c r="D43" s="10">
        <f>IF(AND($C43&lt;&gt;"",D$15&lt;&gt;""),IFERROR(INDEX(PriceChangeData!$C:$C,MATCH($C43&amp;D$15,PriceChangeData!$F:$F,0)),0)+D42,"")</f>
        <v>6.9999291586401988E-2</v>
      </c>
      <c r="E43" s="11" t="str">
        <f>IF(AND($C43&lt;&gt;"",E$15&lt;&gt;""),IFERROR(INDEX(PriceChangeData!$C:$C,MATCH($C43&amp;E$15,PriceChangeData!$F:$F,0)),0)+E42,"")</f>
        <v/>
      </c>
      <c r="F43" s="11" t="str">
        <f>IF(AND($C43&lt;&gt;"",F$15&lt;&gt;""),IFERROR(INDEX(PriceChangeData!$C:$C,MATCH($C43&amp;F$15,PriceChangeData!$F:$F,0)),0)+F42,"")</f>
        <v/>
      </c>
      <c r="G43" s="11" t="str">
        <f>IF(AND($C43&lt;&gt;"",G$15&lt;&gt;""),IFERROR(INDEX(PriceChangeData!$C:$C,MATCH($C43&amp;G$15,PriceChangeData!$F:$F,0)),0)+G42,"")</f>
        <v/>
      </c>
      <c r="H43" s="19" t="str">
        <f>IF(AND($C43&lt;&gt;"",H$15&lt;&gt;""),IFERROR(INDEX(PriceChangeData!$C:$C,MATCH($C43&amp;H$15,PriceChangeData!$F:$F,0)),0)+H42,"")</f>
        <v/>
      </c>
    </row>
    <row r="44" spans="3:8" x14ac:dyDescent="0.25">
      <c r="C44" s="18">
        <f t="shared" si="2"/>
        <v>43229</v>
      </c>
      <c r="D44" s="10">
        <f>IF(AND($C44&lt;&gt;"",D$15&lt;&gt;""),IFERROR(INDEX(PriceChangeData!$C:$C,MATCH($C44&amp;D$15,PriceChangeData!$F:$F,0)),0)+D43,"")</f>
        <v>8.7747956088340781E-2</v>
      </c>
      <c r="E44" s="11" t="str">
        <f>IF(AND($C44&lt;&gt;"",E$15&lt;&gt;""),IFERROR(INDEX(PriceChangeData!$C:$C,MATCH($C44&amp;E$15,PriceChangeData!$F:$F,0)),0)+E43,"")</f>
        <v/>
      </c>
      <c r="F44" s="11" t="str">
        <f>IF(AND($C44&lt;&gt;"",F$15&lt;&gt;""),IFERROR(INDEX(PriceChangeData!$C:$C,MATCH($C44&amp;F$15,PriceChangeData!$F:$F,0)),0)+F43,"")</f>
        <v/>
      </c>
      <c r="G44" s="11" t="str">
        <f>IF(AND($C44&lt;&gt;"",G$15&lt;&gt;""),IFERROR(INDEX(PriceChangeData!$C:$C,MATCH($C44&amp;G$15,PriceChangeData!$F:$F,0)),0)+G43,"")</f>
        <v/>
      </c>
      <c r="H44" s="19" t="str">
        <f>IF(AND($C44&lt;&gt;"",H$15&lt;&gt;""),IFERROR(INDEX(PriceChangeData!$C:$C,MATCH($C44&amp;H$15,PriceChangeData!$F:$F,0)),0)+H43,"")</f>
        <v/>
      </c>
    </row>
    <row r="45" spans="3:8" x14ac:dyDescent="0.25">
      <c r="C45" s="18">
        <f t="shared" si="2"/>
        <v>43230</v>
      </c>
      <c r="D45" s="10">
        <f>IF(AND($C45&lt;&gt;"",D$15&lt;&gt;""),IFERROR(INDEX(PriceChangeData!$C:$C,MATCH($C45&amp;D$15,PriceChangeData!$F:$F,0)),0)+D44,"")</f>
        <v>0.10411945064658809</v>
      </c>
      <c r="E45" s="11" t="str">
        <f>IF(AND($C45&lt;&gt;"",E$15&lt;&gt;""),IFERROR(INDEX(PriceChangeData!$C:$C,MATCH($C45&amp;E$15,PriceChangeData!$F:$F,0)),0)+E44,"")</f>
        <v/>
      </c>
      <c r="F45" s="11" t="str">
        <f>IF(AND($C45&lt;&gt;"",F$15&lt;&gt;""),IFERROR(INDEX(PriceChangeData!$C:$C,MATCH($C45&amp;F$15,PriceChangeData!$F:$F,0)),0)+F44,"")</f>
        <v/>
      </c>
      <c r="G45" s="11" t="str">
        <f>IF(AND($C45&lt;&gt;"",G$15&lt;&gt;""),IFERROR(INDEX(PriceChangeData!$C:$C,MATCH($C45&amp;G$15,PriceChangeData!$F:$F,0)),0)+G44,"")</f>
        <v/>
      </c>
      <c r="H45" s="19" t="str">
        <f>IF(AND($C45&lt;&gt;"",H$15&lt;&gt;""),IFERROR(INDEX(PriceChangeData!$C:$C,MATCH($C45&amp;H$15,PriceChangeData!$F:$F,0)),0)+H44,"")</f>
        <v/>
      </c>
    </row>
    <row r="46" spans="3:8" x14ac:dyDescent="0.25">
      <c r="C46" s="18">
        <f t="shared" si="2"/>
        <v>43231</v>
      </c>
      <c r="D46" s="10">
        <f>IF(AND($C46&lt;&gt;"",D$15&lt;&gt;""),IFERROR(INDEX(PriceChangeData!$C:$C,MATCH($C46&amp;D$15,PriceChangeData!$F:$F,0)),0)+D45,"")</f>
        <v>0.11696763588621971</v>
      </c>
      <c r="E46" s="11" t="str">
        <f>IF(AND($C46&lt;&gt;"",E$15&lt;&gt;""),IFERROR(INDEX(PriceChangeData!$C:$C,MATCH($C46&amp;E$15,PriceChangeData!$F:$F,0)),0)+E45,"")</f>
        <v/>
      </c>
      <c r="F46" s="11" t="str">
        <f>IF(AND($C46&lt;&gt;"",F$15&lt;&gt;""),IFERROR(INDEX(PriceChangeData!$C:$C,MATCH($C46&amp;F$15,PriceChangeData!$F:$F,0)),0)+F45,"")</f>
        <v/>
      </c>
      <c r="G46" s="11" t="str">
        <f>IF(AND($C46&lt;&gt;"",G$15&lt;&gt;""),IFERROR(INDEX(PriceChangeData!$C:$C,MATCH($C46&amp;G$15,PriceChangeData!$F:$F,0)),0)+G45,"")</f>
        <v/>
      </c>
      <c r="H46" s="19" t="str">
        <f>IF(AND($C46&lt;&gt;"",H$15&lt;&gt;""),IFERROR(INDEX(PriceChangeData!$C:$C,MATCH($C46&amp;H$15,PriceChangeData!$F:$F,0)),0)+H45,"")</f>
        <v/>
      </c>
    </row>
    <row r="47" spans="3:8" x14ac:dyDescent="0.25">
      <c r="C47" s="18">
        <f t="shared" si="2"/>
        <v>43232</v>
      </c>
      <c r="D47" s="10">
        <f>IF(AND($C47&lt;&gt;"",D$15&lt;&gt;""),IFERROR(INDEX(PriceChangeData!$C:$C,MATCH($C47&amp;D$15,PriceChangeData!$F:$F,0)),0)+D46,"")</f>
        <v>0.11696763588621971</v>
      </c>
      <c r="E47" s="11" t="str">
        <f>IF(AND($C47&lt;&gt;"",E$15&lt;&gt;""),IFERROR(INDEX(PriceChangeData!$C:$C,MATCH($C47&amp;E$15,PriceChangeData!$F:$F,0)),0)+E46,"")</f>
        <v/>
      </c>
      <c r="F47" s="11" t="str">
        <f>IF(AND($C47&lt;&gt;"",F$15&lt;&gt;""),IFERROR(INDEX(PriceChangeData!$C:$C,MATCH($C47&amp;F$15,PriceChangeData!$F:$F,0)),0)+F46,"")</f>
        <v/>
      </c>
      <c r="G47" s="11" t="str">
        <f>IF(AND($C47&lt;&gt;"",G$15&lt;&gt;""),IFERROR(INDEX(PriceChangeData!$C:$C,MATCH($C47&amp;G$15,PriceChangeData!$F:$F,0)),0)+G46,"")</f>
        <v/>
      </c>
      <c r="H47" s="19" t="str">
        <f>IF(AND($C47&lt;&gt;"",H$15&lt;&gt;""),IFERROR(INDEX(PriceChangeData!$C:$C,MATCH($C47&amp;H$15,PriceChangeData!$F:$F,0)),0)+H46,"")</f>
        <v/>
      </c>
    </row>
    <row r="48" spans="3:8" x14ac:dyDescent="0.25">
      <c r="C48" s="18">
        <f t="shared" si="2"/>
        <v>43233</v>
      </c>
      <c r="D48" s="10">
        <f>IF(AND($C48&lt;&gt;"",D$15&lt;&gt;""),IFERROR(INDEX(PriceChangeData!$C:$C,MATCH($C48&amp;D$15,PriceChangeData!$F:$F,0)),0)+D47,"")</f>
        <v>0.11696763588621971</v>
      </c>
      <c r="E48" s="11" t="str">
        <f>IF(AND($C48&lt;&gt;"",E$15&lt;&gt;""),IFERROR(INDEX(PriceChangeData!$C:$C,MATCH($C48&amp;E$15,PriceChangeData!$F:$F,0)),0)+E47,"")</f>
        <v/>
      </c>
      <c r="F48" s="11" t="str">
        <f>IF(AND($C48&lt;&gt;"",F$15&lt;&gt;""),IFERROR(INDEX(PriceChangeData!$C:$C,MATCH($C48&amp;F$15,PriceChangeData!$F:$F,0)),0)+F47,"")</f>
        <v/>
      </c>
      <c r="G48" s="11" t="str">
        <f>IF(AND($C48&lt;&gt;"",G$15&lt;&gt;""),IFERROR(INDEX(PriceChangeData!$C:$C,MATCH($C48&amp;G$15,PriceChangeData!$F:$F,0)),0)+G47,"")</f>
        <v/>
      </c>
      <c r="H48" s="19" t="str">
        <f>IF(AND($C48&lt;&gt;"",H$15&lt;&gt;""),IFERROR(INDEX(PriceChangeData!$C:$C,MATCH($C48&amp;H$15,PriceChangeData!$F:$F,0)),0)+H47,"")</f>
        <v/>
      </c>
    </row>
    <row r="49" spans="3:8" x14ac:dyDescent="0.25">
      <c r="C49" s="18">
        <f t="shared" si="2"/>
        <v>43234</v>
      </c>
      <c r="D49" s="10">
        <f>IF(AND($C49&lt;&gt;"",D$15&lt;&gt;""),IFERROR(INDEX(PriceChangeData!$C:$C,MATCH($C49&amp;D$15,PriceChangeData!$F:$F,0)),0)+D48,"")</f>
        <v>0.13324823804079303</v>
      </c>
      <c r="E49" s="11" t="str">
        <f>IF(AND($C49&lt;&gt;"",E$15&lt;&gt;""),IFERROR(INDEX(PriceChangeData!$C:$C,MATCH($C49&amp;E$15,PriceChangeData!$F:$F,0)),0)+E48,"")</f>
        <v/>
      </c>
      <c r="F49" s="11" t="str">
        <f>IF(AND($C49&lt;&gt;"",F$15&lt;&gt;""),IFERROR(INDEX(PriceChangeData!$C:$C,MATCH($C49&amp;F$15,PriceChangeData!$F:$F,0)),0)+F48,"")</f>
        <v/>
      </c>
      <c r="G49" s="11" t="str">
        <f>IF(AND($C49&lt;&gt;"",G$15&lt;&gt;""),IFERROR(INDEX(PriceChangeData!$C:$C,MATCH($C49&amp;G$15,PriceChangeData!$F:$F,0)),0)+G48,"")</f>
        <v/>
      </c>
      <c r="H49" s="19" t="str">
        <f>IF(AND($C49&lt;&gt;"",H$15&lt;&gt;""),IFERROR(INDEX(PriceChangeData!$C:$C,MATCH($C49&amp;H$15,PriceChangeData!$F:$F,0)),0)+H48,"")</f>
        <v/>
      </c>
    </row>
    <row r="50" spans="3:8" x14ac:dyDescent="0.25">
      <c r="C50" s="18">
        <f t="shared" si="2"/>
        <v>43235</v>
      </c>
      <c r="D50" s="10">
        <f>IF(AND($C50&lt;&gt;"",D$15&lt;&gt;""),IFERROR(INDEX(PriceChangeData!$C:$C,MATCH($C50&amp;D$15,PriceChangeData!$F:$F,0)),0)+D49,"")</f>
        <v>0.11696763588621975</v>
      </c>
      <c r="E50" s="11" t="str">
        <f>IF(AND($C50&lt;&gt;"",E$15&lt;&gt;""),IFERROR(INDEX(PriceChangeData!$C:$C,MATCH($C50&amp;E$15,PriceChangeData!$F:$F,0)),0)+E49,"")</f>
        <v/>
      </c>
      <c r="F50" s="11" t="str">
        <f>IF(AND($C50&lt;&gt;"",F$15&lt;&gt;""),IFERROR(INDEX(PriceChangeData!$C:$C,MATCH($C50&amp;F$15,PriceChangeData!$F:$F,0)),0)+F49,"")</f>
        <v/>
      </c>
      <c r="G50" s="11" t="str">
        <f>IF(AND($C50&lt;&gt;"",G$15&lt;&gt;""),IFERROR(INDEX(PriceChangeData!$C:$C,MATCH($C50&amp;G$15,PriceChangeData!$F:$F,0)),0)+G49,"")</f>
        <v/>
      </c>
      <c r="H50" s="19" t="str">
        <f>IF(AND($C50&lt;&gt;"",H$15&lt;&gt;""),IFERROR(INDEX(PriceChangeData!$C:$C,MATCH($C50&amp;H$15,PriceChangeData!$F:$F,0)),0)+H49,"")</f>
        <v/>
      </c>
    </row>
    <row r="51" spans="3:8" x14ac:dyDescent="0.25">
      <c r="C51" s="18">
        <f t="shared" si="2"/>
        <v>43236</v>
      </c>
      <c r="D51" s="10">
        <f>IF(AND($C51&lt;&gt;"",D$15&lt;&gt;""),IFERROR(INDEX(PriceChangeData!$C:$C,MATCH($C51&amp;D$15,PriceChangeData!$F:$F,0)),0)+D50,"")</f>
        <v>0.12518879159989837</v>
      </c>
      <c r="E51" s="11" t="str">
        <f>IF(AND($C51&lt;&gt;"",E$15&lt;&gt;""),IFERROR(INDEX(PriceChangeData!$C:$C,MATCH($C51&amp;E$15,PriceChangeData!$F:$F,0)),0)+E50,"")</f>
        <v/>
      </c>
      <c r="F51" s="11" t="str">
        <f>IF(AND($C51&lt;&gt;"",F$15&lt;&gt;""),IFERROR(INDEX(PriceChangeData!$C:$C,MATCH($C51&amp;F$15,PriceChangeData!$F:$F,0)),0)+F50,"")</f>
        <v/>
      </c>
      <c r="G51" s="11" t="str">
        <f>IF(AND($C51&lt;&gt;"",G$15&lt;&gt;""),IFERROR(INDEX(PriceChangeData!$C:$C,MATCH($C51&amp;G$15,PriceChangeData!$F:$F,0)),0)+G50,"")</f>
        <v/>
      </c>
      <c r="H51" s="19" t="str">
        <f>IF(AND($C51&lt;&gt;"",H$15&lt;&gt;""),IFERROR(INDEX(PriceChangeData!$C:$C,MATCH($C51&amp;H$15,PriceChangeData!$F:$F,0)),0)+H50,"")</f>
        <v/>
      </c>
    </row>
    <row r="52" spans="3:8" x14ac:dyDescent="0.25">
      <c r="C52" s="18">
        <f t="shared" si="2"/>
        <v>43237</v>
      </c>
      <c r="D52" s="10">
        <f>IF(AND($C52&lt;&gt;"",D$15&lt;&gt;""),IFERROR(INDEX(PriceChangeData!$C:$C,MATCH($C52&amp;D$15,PriceChangeData!$F:$F,0)),0)+D51,"")</f>
        <v>0.12785076805453011</v>
      </c>
      <c r="E52" s="11" t="str">
        <f>IF(AND($C52&lt;&gt;"",E$15&lt;&gt;""),IFERROR(INDEX(PriceChangeData!$C:$C,MATCH($C52&amp;E$15,PriceChangeData!$F:$F,0)),0)+E51,"")</f>
        <v/>
      </c>
      <c r="F52" s="11" t="str">
        <f>IF(AND($C52&lt;&gt;"",F$15&lt;&gt;""),IFERROR(INDEX(PriceChangeData!$C:$C,MATCH($C52&amp;F$15,PriceChangeData!$F:$F,0)),0)+F51,"")</f>
        <v/>
      </c>
      <c r="G52" s="11" t="str">
        <f>IF(AND($C52&lt;&gt;"",G$15&lt;&gt;""),IFERROR(INDEX(PriceChangeData!$C:$C,MATCH($C52&amp;G$15,PriceChangeData!$F:$F,0)),0)+G51,"")</f>
        <v/>
      </c>
      <c r="H52" s="19" t="str">
        <f>IF(AND($C52&lt;&gt;"",H$15&lt;&gt;""),IFERROR(INDEX(PriceChangeData!$C:$C,MATCH($C52&amp;H$15,PriceChangeData!$F:$F,0)),0)+H51,"")</f>
        <v/>
      </c>
    </row>
    <row r="53" spans="3:8" x14ac:dyDescent="0.25">
      <c r="C53" s="18">
        <f t="shared" si="2"/>
        <v>43238</v>
      </c>
      <c r="D53" s="10">
        <f>IF(AND($C53&lt;&gt;"",D$15&lt;&gt;""),IFERROR(INDEX(PriceChangeData!$C:$C,MATCH($C53&amp;D$15,PriceChangeData!$F:$F,0)),0)+D52,"")</f>
        <v>0.13409801864659035</v>
      </c>
      <c r="E53" s="11" t="str">
        <f>IF(AND($C53&lt;&gt;"",E$15&lt;&gt;""),IFERROR(INDEX(PriceChangeData!$C:$C,MATCH($C53&amp;E$15,PriceChangeData!$F:$F,0)),0)+E52,"")</f>
        <v/>
      </c>
      <c r="F53" s="11" t="str">
        <f>IF(AND($C53&lt;&gt;"",F$15&lt;&gt;""),IFERROR(INDEX(PriceChangeData!$C:$C,MATCH($C53&amp;F$15,PriceChangeData!$F:$F,0)),0)+F52,"")</f>
        <v/>
      </c>
      <c r="G53" s="11" t="str">
        <f>IF(AND($C53&lt;&gt;"",G$15&lt;&gt;""),IFERROR(INDEX(PriceChangeData!$C:$C,MATCH($C53&amp;G$15,PriceChangeData!$F:$F,0)),0)+G52,"")</f>
        <v/>
      </c>
      <c r="H53" s="19" t="str">
        <f>IF(AND($C53&lt;&gt;"",H$15&lt;&gt;""),IFERROR(INDEX(PriceChangeData!$C:$C,MATCH($C53&amp;H$15,PriceChangeData!$F:$F,0)),0)+H52,"")</f>
        <v/>
      </c>
    </row>
    <row r="54" spans="3:8" x14ac:dyDescent="0.25">
      <c r="C54" s="18">
        <f t="shared" si="2"/>
        <v>43239</v>
      </c>
      <c r="D54" s="10">
        <f>IF(AND($C54&lt;&gt;"",D$15&lt;&gt;""),IFERROR(INDEX(PriceChangeData!$C:$C,MATCH($C54&amp;D$15,PriceChangeData!$F:$F,0)),0)+D53,"")</f>
        <v>0.13409801864659035</v>
      </c>
      <c r="E54" s="11" t="str">
        <f>IF(AND($C54&lt;&gt;"",E$15&lt;&gt;""),IFERROR(INDEX(PriceChangeData!$C:$C,MATCH($C54&amp;E$15,PriceChangeData!$F:$F,0)),0)+E53,"")</f>
        <v/>
      </c>
      <c r="F54" s="11" t="str">
        <f>IF(AND($C54&lt;&gt;"",F$15&lt;&gt;""),IFERROR(INDEX(PriceChangeData!$C:$C,MATCH($C54&amp;F$15,PriceChangeData!$F:$F,0)),0)+F53,"")</f>
        <v/>
      </c>
      <c r="G54" s="11" t="str">
        <f>IF(AND($C54&lt;&gt;"",G$15&lt;&gt;""),IFERROR(INDEX(PriceChangeData!$C:$C,MATCH($C54&amp;G$15,PriceChangeData!$F:$F,0)),0)+G53,"")</f>
        <v/>
      </c>
      <c r="H54" s="19" t="str">
        <f>IF(AND($C54&lt;&gt;"",H$15&lt;&gt;""),IFERROR(INDEX(PriceChangeData!$C:$C,MATCH($C54&amp;H$15,PriceChangeData!$F:$F,0)),0)+H53,"")</f>
        <v/>
      </c>
    </row>
    <row r="55" spans="3:8" x14ac:dyDescent="0.25">
      <c r="C55" s="18">
        <f t="shared" si="2"/>
        <v>43240</v>
      </c>
      <c r="D55" s="10">
        <f>IF(AND($C55&lt;&gt;"",D$15&lt;&gt;""),IFERROR(INDEX(PriceChangeData!$C:$C,MATCH($C55&amp;D$15,PriceChangeData!$F:$F,0)),0)+D54,"")</f>
        <v>0.13409801864659035</v>
      </c>
      <c r="E55" s="11" t="str">
        <f>IF(AND($C55&lt;&gt;"",E$15&lt;&gt;""),IFERROR(INDEX(PriceChangeData!$C:$C,MATCH($C55&amp;E$15,PriceChangeData!$F:$F,0)),0)+E54,"")</f>
        <v/>
      </c>
      <c r="F55" s="11" t="str">
        <f>IF(AND($C55&lt;&gt;"",F$15&lt;&gt;""),IFERROR(INDEX(PriceChangeData!$C:$C,MATCH($C55&amp;F$15,PriceChangeData!$F:$F,0)),0)+F54,"")</f>
        <v/>
      </c>
      <c r="G55" s="11" t="str">
        <f>IF(AND($C55&lt;&gt;"",G$15&lt;&gt;""),IFERROR(INDEX(PriceChangeData!$C:$C,MATCH($C55&amp;G$15,PriceChangeData!$F:$F,0)),0)+G54,"")</f>
        <v/>
      </c>
      <c r="H55" s="19" t="str">
        <f>IF(AND($C55&lt;&gt;"",H$15&lt;&gt;""),IFERROR(INDEX(PriceChangeData!$C:$C,MATCH($C55&amp;H$15,PriceChangeData!$F:$F,0)),0)+H54,"")</f>
        <v/>
      </c>
    </row>
    <row r="56" spans="3:8" x14ac:dyDescent="0.25">
      <c r="C56" s="18">
        <f t="shared" si="2"/>
        <v>43241</v>
      </c>
      <c r="D56" s="10">
        <f>IF(AND($C56&lt;&gt;"",D$15&lt;&gt;""),IFERROR(INDEX(PriceChangeData!$C:$C,MATCH($C56&amp;D$15,PriceChangeData!$F:$F,0)),0)+D55,"")</f>
        <v>0.13645430599975114</v>
      </c>
      <c r="E56" s="11" t="str">
        <f>IF(AND($C56&lt;&gt;"",E$15&lt;&gt;""),IFERROR(INDEX(PriceChangeData!$C:$C,MATCH($C56&amp;E$15,PriceChangeData!$F:$F,0)),0)+E55,"")</f>
        <v/>
      </c>
      <c r="F56" s="11" t="str">
        <f>IF(AND($C56&lt;&gt;"",F$15&lt;&gt;""),IFERROR(INDEX(PriceChangeData!$C:$C,MATCH($C56&amp;F$15,PriceChangeData!$F:$F,0)),0)+F55,"")</f>
        <v/>
      </c>
      <c r="G56" s="11" t="str">
        <f>IF(AND($C56&lt;&gt;"",G$15&lt;&gt;""),IFERROR(INDEX(PriceChangeData!$C:$C,MATCH($C56&amp;G$15,PriceChangeData!$F:$F,0)),0)+G55,"")</f>
        <v/>
      </c>
      <c r="H56" s="19" t="str">
        <f>IF(AND($C56&lt;&gt;"",H$15&lt;&gt;""),IFERROR(INDEX(PriceChangeData!$C:$C,MATCH($C56&amp;H$15,PriceChangeData!$F:$F,0)),0)+H55,"")</f>
        <v/>
      </c>
    </row>
    <row r="57" spans="3:8" x14ac:dyDescent="0.25">
      <c r="C57" s="18">
        <f t="shared" si="2"/>
        <v>43242</v>
      </c>
      <c r="D57" s="10">
        <f>IF(AND($C57&lt;&gt;"",D$15&lt;&gt;""),IFERROR(INDEX(PriceChangeData!$C:$C,MATCH($C57&amp;D$15,PriceChangeData!$F:$F,0)),0)+D56,"")</f>
        <v>0.13645430599975114</v>
      </c>
      <c r="E57" s="11" t="str">
        <f>IF(AND($C57&lt;&gt;"",E$15&lt;&gt;""),IFERROR(INDEX(PriceChangeData!$C:$C,MATCH($C57&amp;E$15,PriceChangeData!$F:$F,0)),0)+E56,"")</f>
        <v/>
      </c>
      <c r="F57" s="11" t="str">
        <f>IF(AND($C57&lt;&gt;"",F$15&lt;&gt;""),IFERROR(INDEX(PriceChangeData!$C:$C,MATCH($C57&amp;F$15,PriceChangeData!$F:$F,0)),0)+F56,"")</f>
        <v/>
      </c>
      <c r="G57" s="11" t="str">
        <f>IF(AND($C57&lt;&gt;"",G$15&lt;&gt;""),IFERROR(INDEX(PriceChangeData!$C:$C,MATCH($C57&amp;G$15,PriceChangeData!$F:$F,0)),0)+G56,"")</f>
        <v/>
      </c>
      <c r="H57" s="19" t="str">
        <f>IF(AND($C57&lt;&gt;"",H$15&lt;&gt;""),IFERROR(INDEX(PriceChangeData!$C:$C,MATCH($C57&amp;H$15,PriceChangeData!$F:$F,0)),0)+H56,"")</f>
        <v/>
      </c>
    </row>
    <row r="58" spans="3:8" x14ac:dyDescent="0.25">
      <c r="C58" s="18">
        <f t="shared" si="2"/>
        <v>43243</v>
      </c>
      <c r="D58" s="10">
        <f>IF(AND($C58&lt;&gt;"",D$15&lt;&gt;""),IFERROR(INDEX(PriceChangeData!$C:$C,MATCH($C58&amp;D$15,PriceChangeData!$F:$F,0)),0)+D57,"")</f>
        <v>0.13050567719936709</v>
      </c>
      <c r="E58" s="11" t="str">
        <f>IF(AND($C58&lt;&gt;"",E$15&lt;&gt;""),IFERROR(INDEX(PriceChangeData!$C:$C,MATCH($C58&amp;E$15,PriceChangeData!$F:$F,0)),0)+E57,"")</f>
        <v/>
      </c>
      <c r="F58" s="11" t="str">
        <f>IF(AND($C58&lt;&gt;"",F$15&lt;&gt;""),IFERROR(INDEX(PriceChangeData!$C:$C,MATCH($C58&amp;F$15,PriceChangeData!$F:$F,0)),0)+F57,"")</f>
        <v/>
      </c>
      <c r="G58" s="11" t="str">
        <f>IF(AND($C58&lt;&gt;"",G$15&lt;&gt;""),IFERROR(INDEX(PriceChangeData!$C:$C,MATCH($C58&amp;G$15,PriceChangeData!$F:$F,0)),0)+G57,"")</f>
        <v/>
      </c>
      <c r="H58" s="19" t="str">
        <f>IF(AND($C58&lt;&gt;"",H$15&lt;&gt;""),IFERROR(INDEX(PriceChangeData!$C:$C,MATCH($C58&amp;H$15,PriceChangeData!$F:$F,0)),0)+H57,"")</f>
        <v/>
      </c>
    </row>
    <row r="59" spans="3:8" x14ac:dyDescent="0.25">
      <c r="C59" s="18">
        <f t="shared" si="2"/>
        <v>43244</v>
      </c>
      <c r="D59" s="10">
        <f>IF(AND($C59&lt;&gt;"",D$15&lt;&gt;""),IFERROR(INDEX(PriceChangeData!$C:$C,MATCH($C59&amp;D$15,PriceChangeData!$F:$F,0)),0)+D58,"")</f>
        <v>0.1069342352825946</v>
      </c>
      <c r="E59" s="11" t="str">
        <f>IF(AND($C59&lt;&gt;"",E$15&lt;&gt;""),IFERROR(INDEX(PriceChangeData!$C:$C,MATCH($C59&amp;E$15,PriceChangeData!$F:$F,0)),0)+E58,"")</f>
        <v/>
      </c>
      <c r="F59" s="11" t="str">
        <f>IF(AND($C59&lt;&gt;"",F$15&lt;&gt;""),IFERROR(INDEX(PriceChangeData!$C:$C,MATCH($C59&amp;F$15,PriceChangeData!$F:$F,0)),0)+F58,"")</f>
        <v/>
      </c>
      <c r="G59" s="11" t="str">
        <f>IF(AND($C59&lt;&gt;"",G$15&lt;&gt;""),IFERROR(INDEX(PriceChangeData!$C:$C,MATCH($C59&amp;G$15,PriceChangeData!$F:$F,0)),0)+G58,"")</f>
        <v/>
      </c>
      <c r="H59" s="19" t="str">
        <f>IF(AND($C59&lt;&gt;"",H$15&lt;&gt;""),IFERROR(INDEX(PriceChangeData!$C:$C,MATCH($C59&amp;H$15,PriceChangeData!$F:$F,0)),0)+H58,"")</f>
        <v/>
      </c>
    </row>
    <row r="60" spans="3:8" x14ac:dyDescent="0.25">
      <c r="C60" s="18">
        <f t="shared" si="2"/>
        <v>43245</v>
      </c>
      <c r="D60" s="10">
        <f>IF(AND($C60&lt;&gt;"",D$15&lt;&gt;""),IFERROR(INDEX(PriceChangeData!$C:$C,MATCH($C60&amp;D$15,PriceChangeData!$F:$F,0)),0)+D59,"")</f>
        <v>8.675968798593961E-2</v>
      </c>
      <c r="E60" s="11" t="str">
        <f>IF(AND($C60&lt;&gt;"",E$15&lt;&gt;""),IFERROR(INDEX(PriceChangeData!$C:$C,MATCH($C60&amp;E$15,PriceChangeData!$F:$F,0)),0)+E59,"")</f>
        <v/>
      </c>
      <c r="F60" s="11" t="str">
        <f>IF(AND($C60&lt;&gt;"",F$15&lt;&gt;""),IFERROR(INDEX(PriceChangeData!$C:$C,MATCH($C60&amp;F$15,PriceChangeData!$F:$F,0)),0)+F59,"")</f>
        <v/>
      </c>
      <c r="G60" s="11" t="str">
        <f>IF(AND($C60&lt;&gt;"",G$15&lt;&gt;""),IFERROR(INDEX(PriceChangeData!$C:$C,MATCH($C60&amp;G$15,PriceChangeData!$F:$F,0)),0)+G59,"")</f>
        <v/>
      </c>
      <c r="H60" s="19" t="str">
        <f>IF(AND($C60&lt;&gt;"",H$15&lt;&gt;""),IFERROR(INDEX(PriceChangeData!$C:$C,MATCH($C60&amp;H$15,PriceChangeData!$F:$F,0)),0)+H59,"")</f>
        <v/>
      </c>
    </row>
    <row r="61" spans="3:8" x14ac:dyDescent="0.25">
      <c r="C61" s="18">
        <f t="shared" si="2"/>
        <v>43246</v>
      </c>
      <c r="D61" s="10">
        <f>IF(AND($C61&lt;&gt;"",D$15&lt;&gt;""),IFERROR(INDEX(PriceChangeData!$C:$C,MATCH($C61&amp;D$15,PriceChangeData!$F:$F,0)),0)+D60,"")</f>
        <v>8.675968798593961E-2</v>
      </c>
      <c r="E61" s="11" t="str">
        <f>IF(AND($C61&lt;&gt;"",E$15&lt;&gt;""),IFERROR(INDEX(PriceChangeData!$C:$C,MATCH($C61&amp;E$15,PriceChangeData!$F:$F,0)),0)+E60,"")</f>
        <v/>
      </c>
      <c r="F61" s="11" t="str">
        <f>IF(AND($C61&lt;&gt;"",F$15&lt;&gt;""),IFERROR(INDEX(PriceChangeData!$C:$C,MATCH($C61&amp;F$15,PriceChangeData!$F:$F,0)),0)+F60,"")</f>
        <v/>
      </c>
      <c r="G61" s="11" t="str">
        <f>IF(AND($C61&lt;&gt;"",G$15&lt;&gt;""),IFERROR(INDEX(PriceChangeData!$C:$C,MATCH($C61&amp;G$15,PriceChangeData!$F:$F,0)),0)+G60,"")</f>
        <v/>
      </c>
      <c r="H61" s="19" t="str">
        <f>IF(AND($C61&lt;&gt;"",H$15&lt;&gt;""),IFERROR(INDEX(PriceChangeData!$C:$C,MATCH($C61&amp;H$15,PriceChangeData!$F:$F,0)),0)+H60,"")</f>
        <v/>
      </c>
    </row>
    <row r="62" spans="3:8" x14ac:dyDescent="0.25">
      <c r="C62" s="18">
        <f t="shared" si="2"/>
        <v>43247</v>
      </c>
      <c r="D62" s="10">
        <f>IF(AND($C62&lt;&gt;"",D$15&lt;&gt;""),IFERROR(INDEX(PriceChangeData!$C:$C,MATCH($C62&amp;D$15,PriceChangeData!$F:$F,0)),0)+D61,"")</f>
        <v>8.675968798593961E-2</v>
      </c>
      <c r="E62" s="11" t="str">
        <f>IF(AND($C62&lt;&gt;"",E$15&lt;&gt;""),IFERROR(INDEX(PriceChangeData!$C:$C,MATCH($C62&amp;E$15,PriceChangeData!$F:$F,0)),0)+E61,"")</f>
        <v/>
      </c>
      <c r="F62" s="11" t="str">
        <f>IF(AND($C62&lt;&gt;"",F$15&lt;&gt;""),IFERROR(INDEX(PriceChangeData!$C:$C,MATCH($C62&amp;F$15,PriceChangeData!$F:$F,0)),0)+F61,"")</f>
        <v/>
      </c>
      <c r="G62" s="11" t="str">
        <f>IF(AND($C62&lt;&gt;"",G$15&lt;&gt;""),IFERROR(INDEX(PriceChangeData!$C:$C,MATCH($C62&amp;G$15,PriceChangeData!$F:$F,0)),0)+G61,"")</f>
        <v/>
      </c>
      <c r="H62" s="19" t="str">
        <f>IF(AND($C62&lt;&gt;"",H$15&lt;&gt;""),IFERROR(INDEX(PriceChangeData!$C:$C,MATCH($C62&amp;H$15,PriceChangeData!$F:$F,0)),0)+H61,"")</f>
        <v/>
      </c>
    </row>
    <row r="63" spans="3:8" x14ac:dyDescent="0.25">
      <c r="C63" s="18">
        <f t="shared" si="2"/>
        <v>43248</v>
      </c>
      <c r="D63" s="10">
        <f>IF(AND($C63&lt;&gt;"",D$15&lt;&gt;""),IFERROR(INDEX(PriceChangeData!$C:$C,MATCH($C63&amp;D$15,PriceChangeData!$F:$F,0)),0)+D62,"")</f>
        <v>8.675968798593961E-2</v>
      </c>
      <c r="E63" s="11" t="str">
        <f>IF(AND($C63&lt;&gt;"",E$15&lt;&gt;""),IFERROR(INDEX(PriceChangeData!$C:$C,MATCH($C63&amp;E$15,PriceChangeData!$F:$F,0)),0)+E62,"")</f>
        <v/>
      </c>
      <c r="F63" s="11" t="str">
        <f>IF(AND($C63&lt;&gt;"",F$15&lt;&gt;""),IFERROR(INDEX(PriceChangeData!$C:$C,MATCH($C63&amp;F$15,PriceChangeData!$F:$F,0)),0)+F62,"")</f>
        <v/>
      </c>
      <c r="G63" s="11" t="str">
        <f>IF(AND($C63&lt;&gt;"",G$15&lt;&gt;""),IFERROR(INDEX(PriceChangeData!$C:$C,MATCH($C63&amp;G$15,PriceChangeData!$F:$F,0)),0)+G62,"")</f>
        <v/>
      </c>
      <c r="H63" s="19" t="str">
        <f>IF(AND($C63&lt;&gt;"",H$15&lt;&gt;""),IFERROR(INDEX(PriceChangeData!$C:$C,MATCH($C63&amp;H$15,PriceChangeData!$F:$F,0)),0)+H62,"")</f>
        <v/>
      </c>
    </row>
    <row r="64" spans="3:8" x14ac:dyDescent="0.25">
      <c r="C64" s="18">
        <f t="shared" si="2"/>
        <v>43249</v>
      </c>
      <c r="D64" s="10">
        <f>IF(AND($C64&lt;&gt;"",D$15&lt;&gt;""),IFERROR(INDEX(PriceChangeData!$C:$C,MATCH($C64&amp;D$15,PriceChangeData!$F:$F,0)),0)+D63,"")</f>
        <v>7.0702975666497331E-2</v>
      </c>
      <c r="E64" s="11" t="str">
        <f>IF(AND($C64&lt;&gt;"",E$15&lt;&gt;""),IFERROR(INDEX(PriceChangeData!$C:$C,MATCH($C64&amp;E$15,PriceChangeData!$F:$F,0)),0)+E63,"")</f>
        <v/>
      </c>
      <c r="F64" s="11" t="str">
        <f>IF(AND($C64&lt;&gt;"",F$15&lt;&gt;""),IFERROR(INDEX(PriceChangeData!$C:$C,MATCH($C64&amp;F$15,PriceChangeData!$F:$F,0)),0)+F63,"")</f>
        <v/>
      </c>
      <c r="G64" s="11" t="str">
        <f>IF(AND($C64&lt;&gt;"",G$15&lt;&gt;""),IFERROR(INDEX(PriceChangeData!$C:$C,MATCH($C64&amp;G$15,PriceChangeData!$F:$F,0)),0)+G63,"")</f>
        <v/>
      </c>
      <c r="H64" s="19" t="str">
        <f>IF(AND($C64&lt;&gt;"",H$15&lt;&gt;""),IFERROR(INDEX(PriceChangeData!$C:$C,MATCH($C64&amp;H$15,PriceChangeData!$F:$F,0)),0)+H63,"")</f>
        <v/>
      </c>
    </row>
    <row r="65" spans="3:8" x14ac:dyDescent="0.25">
      <c r="C65" s="18">
        <f t="shared" si="2"/>
        <v>43250</v>
      </c>
      <c r="D65" s="10">
        <f>IF(AND($C65&lt;&gt;"",D$15&lt;&gt;""),IFERROR(INDEX(PriceChangeData!$C:$C,MATCH($C65&amp;D$15,PriceChangeData!$F:$F,0)),0)+D64,"")</f>
        <v>0.10567383013167135</v>
      </c>
      <c r="E65" s="11" t="str">
        <f>IF(AND($C65&lt;&gt;"",E$15&lt;&gt;""),IFERROR(INDEX(PriceChangeData!$C:$C,MATCH($C65&amp;E$15,PriceChangeData!$F:$F,0)),0)+E64,"")</f>
        <v/>
      </c>
      <c r="F65" s="11" t="str">
        <f>IF(AND($C65&lt;&gt;"",F$15&lt;&gt;""),IFERROR(INDEX(PriceChangeData!$C:$C,MATCH($C65&amp;F$15,PriceChangeData!$F:$F,0)),0)+F64,"")</f>
        <v/>
      </c>
      <c r="G65" s="11" t="str">
        <f>IF(AND($C65&lt;&gt;"",G$15&lt;&gt;""),IFERROR(INDEX(PriceChangeData!$C:$C,MATCH($C65&amp;G$15,PriceChangeData!$F:$F,0)),0)+G64,"")</f>
        <v/>
      </c>
      <c r="H65" s="19" t="str">
        <f>IF(AND($C65&lt;&gt;"",H$15&lt;&gt;""),IFERROR(INDEX(PriceChangeData!$C:$C,MATCH($C65&amp;H$15,PriceChangeData!$F:$F,0)),0)+H64,"")</f>
        <v/>
      </c>
    </row>
    <row r="66" spans="3:8" x14ac:dyDescent="0.25">
      <c r="C66" s="18">
        <f t="shared" si="2"/>
        <v>43251</v>
      </c>
      <c r="D66" s="10">
        <f>IF(AND($C66&lt;&gt;"",D$15&lt;&gt;""),IFERROR(INDEX(PriceChangeData!$C:$C,MATCH($C66&amp;D$15,PriceChangeData!$F:$F,0)),0)+D65,"")</f>
        <v>6.5360483790611962E-2</v>
      </c>
      <c r="E66" s="11" t="str">
        <f>IF(AND($C66&lt;&gt;"",E$15&lt;&gt;""),IFERROR(INDEX(PriceChangeData!$C:$C,MATCH($C66&amp;E$15,PriceChangeData!$F:$F,0)),0)+E65,"")</f>
        <v/>
      </c>
      <c r="F66" s="11" t="str">
        <f>IF(AND($C66&lt;&gt;"",F$15&lt;&gt;""),IFERROR(INDEX(PriceChangeData!$C:$C,MATCH($C66&amp;F$15,PriceChangeData!$F:$F,0)),0)+F65,"")</f>
        <v/>
      </c>
      <c r="G66" s="11" t="str">
        <f>IF(AND($C66&lt;&gt;"",G$15&lt;&gt;""),IFERROR(INDEX(PriceChangeData!$C:$C,MATCH($C66&amp;G$15,PriceChangeData!$F:$F,0)),0)+G65,"")</f>
        <v/>
      </c>
      <c r="H66" s="19" t="str">
        <f>IF(AND($C66&lt;&gt;"",H$15&lt;&gt;""),IFERROR(INDEX(PriceChangeData!$C:$C,MATCH($C66&amp;H$15,PriceChangeData!$F:$F,0)),0)+H65,"")</f>
        <v/>
      </c>
    </row>
    <row r="67" spans="3:8" x14ac:dyDescent="0.25">
      <c r="C67" s="18">
        <f t="shared" si="2"/>
        <v>43252</v>
      </c>
      <c r="D67" s="10">
        <f>IF(AND($C67&lt;&gt;"",D$15&lt;&gt;""),IFERROR(INDEX(PriceChangeData!$C:$C,MATCH($C67&amp;D$15,PriceChangeData!$F:$F,0)),0)+D66,"")</f>
        <v>5.6324598538956612E-2</v>
      </c>
      <c r="E67" s="11" t="str">
        <f>IF(AND($C67&lt;&gt;"",E$15&lt;&gt;""),IFERROR(INDEX(PriceChangeData!$C:$C,MATCH($C67&amp;E$15,PriceChangeData!$F:$F,0)),0)+E66,"")</f>
        <v/>
      </c>
      <c r="F67" s="11" t="str">
        <f>IF(AND($C67&lt;&gt;"",F$15&lt;&gt;""),IFERROR(INDEX(PriceChangeData!$C:$C,MATCH($C67&amp;F$15,PriceChangeData!$F:$F,0)),0)+F66,"")</f>
        <v/>
      </c>
      <c r="G67" s="11" t="str">
        <f>IF(AND($C67&lt;&gt;"",G$15&lt;&gt;""),IFERROR(INDEX(PriceChangeData!$C:$C,MATCH($C67&amp;G$15,PriceChangeData!$F:$F,0)),0)+G66,"")</f>
        <v/>
      </c>
      <c r="H67" s="19" t="str">
        <f>IF(AND($C67&lt;&gt;"",H$15&lt;&gt;""),IFERROR(INDEX(PriceChangeData!$C:$C,MATCH($C67&amp;H$15,PriceChangeData!$F:$F,0)),0)+H66,"")</f>
        <v/>
      </c>
    </row>
    <row r="68" spans="3:8" x14ac:dyDescent="0.25">
      <c r="C68" s="18">
        <f t="shared" si="2"/>
        <v>43253</v>
      </c>
      <c r="D68" s="10">
        <f>IF(AND($C68&lt;&gt;"",D$15&lt;&gt;""),IFERROR(INDEX(PriceChangeData!$C:$C,MATCH($C68&amp;D$15,PriceChangeData!$F:$F,0)),0)+D67,"")</f>
        <v>5.6324598538956612E-2</v>
      </c>
      <c r="E68" s="11" t="str">
        <f>IF(AND($C68&lt;&gt;"",E$15&lt;&gt;""),IFERROR(INDEX(PriceChangeData!$C:$C,MATCH($C68&amp;E$15,PriceChangeData!$F:$F,0)),0)+E67,"")</f>
        <v/>
      </c>
      <c r="F68" s="11" t="str">
        <f>IF(AND($C68&lt;&gt;"",F$15&lt;&gt;""),IFERROR(INDEX(PriceChangeData!$C:$C,MATCH($C68&amp;F$15,PriceChangeData!$F:$F,0)),0)+F67,"")</f>
        <v/>
      </c>
      <c r="G68" s="11" t="str">
        <f>IF(AND($C68&lt;&gt;"",G$15&lt;&gt;""),IFERROR(INDEX(PriceChangeData!$C:$C,MATCH($C68&amp;G$15,PriceChangeData!$F:$F,0)),0)+G67,"")</f>
        <v/>
      </c>
      <c r="H68" s="19" t="str">
        <f>IF(AND($C68&lt;&gt;"",H$15&lt;&gt;""),IFERROR(INDEX(PriceChangeData!$C:$C,MATCH($C68&amp;H$15,PriceChangeData!$F:$F,0)),0)+H67,"")</f>
        <v/>
      </c>
    </row>
    <row r="69" spans="3:8" x14ac:dyDescent="0.25">
      <c r="C69" s="18">
        <f t="shared" si="2"/>
        <v>43254</v>
      </c>
      <c r="D69" s="10">
        <f>IF(AND($C69&lt;&gt;"",D$15&lt;&gt;""),IFERROR(INDEX(PriceChangeData!$C:$C,MATCH($C69&amp;D$15,PriceChangeData!$F:$F,0)),0)+D68,"")</f>
        <v>5.6324598538956612E-2</v>
      </c>
      <c r="E69" s="11" t="str">
        <f>IF(AND($C69&lt;&gt;"",E$15&lt;&gt;""),IFERROR(INDEX(PriceChangeData!$C:$C,MATCH($C69&amp;E$15,PriceChangeData!$F:$F,0)),0)+E68,"")</f>
        <v/>
      </c>
      <c r="F69" s="11" t="str">
        <f>IF(AND($C69&lt;&gt;"",F$15&lt;&gt;""),IFERROR(INDEX(PriceChangeData!$C:$C,MATCH($C69&amp;F$15,PriceChangeData!$F:$F,0)),0)+F68,"")</f>
        <v/>
      </c>
      <c r="G69" s="11" t="str">
        <f>IF(AND($C69&lt;&gt;"",G$15&lt;&gt;""),IFERROR(INDEX(PriceChangeData!$C:$C,MATCH($C69&amp;G$15,PriceChangeData!$F:$F,0)),0)+G68,"")</f>
        <v/>
      </c>
      <c r="H69" s="19" t="str">
        <f>IF(AND($C69&lt;&gt;"",H$15&lt;&gt;""),IFERROR(INDEX(PriceChangeData!$C:$C,MATCH($C69&amp;H$15,PriceChangeData!$F:$F,0)),0)+H68,"")</f>
        <v/>
      </c>
    </row>
    <row r="70" spans="3:8" x14ac:dyDescent="0.25">
      <c r="C70" s="18">
        <f t="shared" si="2"/>
        <v>43255</v>
      </c>
      <c r="D70" s="10">
        <f>IF(AND($C70&lt;&gt;"",D$15&lt;&gt;""),IFERROR(INDEX(PriceChangeData!$C:$C,MATCH($C70&amp;D$15,PriceChangeData!$F:$F,0)),0)+D69,"")</f>
        <v>6.697728551683188E-2</v>
      </c>
      <c r="E70" s="11" t="str">
        <f>IF(AND($C70&lt;&gt;"",E$15&lt;&gt;""),IFERROR(INDEX(PriceChangeData!$C:$C,MATCH($C70&amp;E$15,PriceChangeData!$F:$F,0)),0)+E69,"")</f>
        <v/>
      </c>
      <c r="F70" s="11" t="str">
        <f>IF(AND($C70&lt;&gt;"",F$15&lt;&gt;""),IFERROR(INDEX(PriceChangeData!$C:$C,MATCH($C70&amp;F$15,PriceChangeData!$F:$F,0)),0)+F69,"")</f>
        <v/>
      </c>
      <c r="G70" s="11" t="str">
        <f>IF(AND($C70&lt;&gt;"",G$15&lt;&gt;""),IFERROR(INDEX(PriceChangeData!$C:$C,MATCH($C70&amp;G$15,PriceChangeData!$F:$F,0)),0)+G69,"")</f>
        <v/>
      </c>
      <c r="H70" s="19" t="str">
        <f>IF(AND($C70&lt;&gt;"",H$15&lt;&gt;""),IFERROR(INDEX(PriceChangeData!$C:$C,MATCH($C70&amp;H$15,PriceChangeData!$F:$F,0)),0)+H69,"")</f>
        <v/>
      </c>
    </row>
    <row r="71" spans="3:8" x14ac:dyDescent="0.25">
      <c r="C71" s="18">
        <f t="shared" si="2"/>
        <v>43256</v>
      </c>
      <c r="D71" s="10">
        <f>IF(AND($C71&lt;&gt;"",D$15&lt;&gt;""),IFERROR(INDEX(PriceChangeData!$C:$C,MATCH($C71&amp;D$15,PriceChangeData!$F:$F,0)),0)+D70,"")</f>
        <v>6.8388413861417335E-2</v>
      </c>
      <c r="E71" s="11" t="str">
        <f>IF(AND($C71&lt;&gt;"",E$15&lt;&gt;""),IFERROR(INDEX(PriceChangeData!$C:$C,MATCH($C71&amp;E$15,PriceChangeData!$F:$F,0)),0)+E70,"")</f>
        <v/>
      </c>
      <c r="F71" s="11" t="str">
        <f>IF(AND($C71&lt;&gt;"",F$15&lt;&gt;""),IFERROR(INDEX(PriceChangeData!$C:$C,MATCH($C71&amp;F$15,PriceChangeData!$F:$F,0)),0)+F70,"")</f>
        <v/>
      </c>
      <c r="G71" s="11" t="str">
        <f>IF(AND($C71&lt;&gt;"",G$15&lt;&gt;""),IFERROR(INDEX(PriceChangeData!$C:$C,MATCH($C71&amp;G$15,PriceChangeData!$F:$F,0)),0)+G70,"")</f>
        <v/>
      </c>
      <c r="H71" s="19" t="str">
        <f>IF(AND($C71&lt;&gt;"",H$15&lt;&gt;""),IFERROR(INDEX(PriceChangeData!$C:$C,MATCH($C71&amp;H$15,PriceChangeData!$F:$F,0)),0)+H70,"")</f>
        <v/>
      </c>
    </row>
    <row r="72" spans="3:8" x14ac:dyDescent="0.25">
      <c r="C72" s="18">
        <f t="shared" si="2"/>
        <v>43257</v>
      </c>
      <c r="D72" s="10">
        <f>IF(AND($C72&lt;&gt;"",D$15&lt;&gt;""),IFERROR(INDEX(PriceChangeData!$C:$C,MATCH($C72&amp;D$15,PriceChangeData!$F:$F,0)),0)+D71,"")</f>
        <v>7.5817583314732248E-2</v>
      </c>
      <c r="E72" s="11" t="str">
        <f>IF(AND($C72&lt;&gt;"",E$15&lt;&gt;""),IFERROR(INDEX(PriceChangeData!$C:$C,MATCH($C72&amp;E$15,PriceChangeData!$F:$F,0)),0)+E71,"")</f>
        <v/>
      </c>
      <c r="F72" s="11" t="str">
        <f>IF(AND($C72&lt;&gt;"",F$15&lt;&gt;""),IFERROR(INDEX(PriceChangeData!$C:$C,MATCH($C72&amp;F$15,PriceChangeData!$F:$F,0)),0)+F71,"")</f>
        <v/>
      </c>
      <c r="G72" s="11" t="str">
        <f>IF(AND($C72&lt;&gt;"",G$15&lt;&gt;""),IFERROR(INDEX(PriceChangeData!$C:$C,MATCH($C72&amp;G$15,PriceChangeData!$F:$F,0)),0)+G71,"")</f>
        <v/>
      </c>
      <c r="H72" s="19" t="str">
        <f>IF(AND($C72&lt;&gt;"",H$15&lt;&gt;""),IFERROR(INDEX(PriceChangeData!$C:$C,MATCH($C72&amp;H$15,PriceChangeData!$F:$F,0)),0)+H71,"")</f>
        <v/>
      </c>
    </row>
    <row r="73" spans="3:8" x14ac:dyDescent="0.25">
      <c r="C73" s="18">
        <f t="shared" si="2"/>
        <v>43258</v>
      </c>
      <c r="D73" s="10">
        <f>IF(AND($C73&lt;&gt;"",D$15&lt;&gt;""),IFERROR(INDEX(PriceChangeData!$C:$C,MATCH($C73&amp;D$15,PriceChangeData!$F:$F,0)),0)+D72,"")</f>
        <v>6.9194177089755282E-2</v>
      </c>
      <c r="E73" s="11" t="str">
        <f>IF(AND($C73&lt;&gt;"",E$15&lt;&gt;""),IFERROR(INDEX(PriceChangeData!$C:$C,MATCH($C73&amp;E$15,PriceChangeData!$F:$F,0)),0)+E72,"")</f>
        <v/>
      </c>
      <c r="F73" s="11" t="str">
        <f>IF(AND($C73&lt;&gt;"",F$15&lt;&gt;""),IFERROR(INDEX(PriceChangeData!$C:$C,MATCH($C73&amp;F$15,PriceChangeData!$F:$F,0)),0)+F72,"")</f>
        <v/>
      </c>
      <c r="G73" s="11" t="str">
        <f>IF(AND($C73&lt;&gt;"",G$15&lt;&gt;""),IFERROR(INDEX(PriceChangeData!$C:$C,MATCH($C73&amp;G$15,PriceChangeData!$F:$F,0)),0)+G72,"")</f>
        <v/>
      </c>
      <c r="H73" s="19" t="str">
        <f>IF(AND($C73&lt;&gt;"",H$15&lt;&gt;""),IFERROR(INDEX(PriceChangeData!$C:$C,MATCH($C73&amp;H$15,PriceChangeData!$F:$F,0)),0)+H72,"")</f>
        <v/>
      </c>
    </row>
    <row r="74" spans="3:8" x14ac:dyDescent="0.25">
      <c r="C74" s="18">
        <f t="shared" si="2"/>
        <v>43259</v>
      </c>
      <c r="D74" s="10">
        <f>IF(AND($C74&lt;&gt;"",D$15&lt;&gt;""),IFERROR(INDEX(PriceChangeData!$C:$C,MATCH($C74&amp;D$15,PriceChangeData!$F:$F,0)),0)+D73,"")</f>
        <v>8.0308426627988996E-2</v>
      </c>
      <c r="E74" s="11" t="str">
        <f>IF(AND($C74&lt;&gt;"",E$15&lt;&gt;""),IFERROR(INDEX(PriceChangeData!$C:$C,MATCH($C74&amp;E$15,PriceChangeData!$F:$F,0)),0)+E73,"")</f>
        <v/>
      </c>
      <c r="F74" s="11" t="str">
        <f>IF(AND($C74&lt;&gt;"",F$15&lt;&gt;""),IFERROR(INDEX(PriceChangeData!$C:$C,MATCH($C74&amp;F$15,PriceChangeData!$F:$F,0)),0)+F73,"")</f>
        <v/>
      </c>
      <c r="G74" s="11" t="str">
        <f>IF(AND($C74&lt;&gt;"",G$15&lt;&gt;""),IFERROR(INDEX(PriceChangeData!$C:$C,MATCH($C74&amp;G$15,PriceChangeData!$F:$F,0)),0)+G73,"")</f>
        <v/>
      </c>
      <c r="H74" s="19" t="str">
        <f>IF(AND($C74&lt;&gt;"",H$15&lt;&gt;""),IFERROR(INDEX(PriceChangeData!$C:$C,MATCH($C74&amp;H$15,PriceChangeData!$F:$F,0)),0)+H73,"")</f>
        <v/>
      </c>
    </row>
    <row r="75" spans="3:8" x14ac:dyDescent="0.25">
      <c r="C75" s="18">
        <f t="shared" si="2"/>
        <v>43260</v>
      </c>
      <c r="D75" s="10">
        <f>IF(AND($C75&lt;&gt;"",D$15&lt;&gt;""),IFERROR(INDEX(PriceChangeData!$C:$C,MATCH($C75&amp;D$15,PriceChangeData!$F:$F,0)),0)+D74,"")</f>
        <v>8.0308426627988996E-2</v>
      </c>
      <c r="E75" s="11" t="str">
        <f>IF(AND($C75&lt;&gt;"",E$15&lt;&gt;""),IFERROR(INDEX(PriceChangeData!$C:$C,MATCH($C75&amp;E$15,PriceChangeData!$F:$F,0)),0)+E74,"")</f>
        <v/>
      </c>
      <c r="F75" s="11" t="str">
        <f>IF(AND($C75&lt;&gt;"",F$15&lt;&gt;""),IFERROR(INDEX(PriceChangeData!$C:$C,MATCH($C75&amp;F$15,PriceChangeData!$F:$F,0)),0)+F74,"")</f>
        <v/>
      </c>
      <c r="G75" s="11" t="str">
        <f>IF(AND($C75&lt;&gt;"",G$15&lt;&gt;""),IFERROR(INDEX(PriceChangeData!$C:$C,MATCH($C75&amp;G$15,PriceChangeData!$F:$F,0)),0)+G74,"")</f>
        <v/>
      </c>
      <c r="H75" s="19" t="str">
        <f>IF(AND($C75&lt;&gt;"",H$15&lt;&gt;""),IFERROR(INDEX(PriceChangeData!$C:$C,MATCH($C75&amp;H$15,PriceChangeData!$F:$F,0)),0)+H74,"")</f>
        <v/>
      </c>
    </row>
    <row r="76" spans="3:8" x14ac:dyDescent="0.25">
      <c r="C76" s="18">
        <f t="shared" si="2"/>
        <v>43261</v>
      </c>
      <c r="D76" s="10">
        <f>IF(AND($C76&lt;&gt;"",D$15&lt;&gt;""),IFERROR(INDEX(PriceChangeData!$C:$C,MATCH($C76&amp;D$15,PriceChangeData!$F:$F,0)),0)+D75,"")</f>
        <v>8.0308426627988996E-2</v>
      </c>
      <c r="E76" s="11" t="str">
        <f>IF(AND($C76&lt;&gt;"",E$15&lt;&gt;""),IFERROR(INDEX(PriceChangeData!$C:$C,MATCH($C76&amp;E$15,PriceChangeData!$F:$F,0)),0)+E75,"")</f>
        <v/>
      </c>
      <c r="F76" s="11" t="str">
        <f>IF(AND($C76&lt;&gt;"",F$15&lt;&gt;""),IFERROR(INDEX(PriceChangeData!$C:$C,MATCH($C76&amp;F$15,PriceChangeData!$F:$F,0)),0)+F75,"")</f>
        <v/>
      </c>
      <c r="G76" s="11" t="str">
        <f>IF(AND($C76&lt;&gt;"",G$15&lt;&gt;""),IFERROR(INDEX(PriceChangeData!$C:$C,MATCH($C76&amp;G$15,PriceChangeData!$F:$F,0)),0)+G75,"")</f>
        <v/>
      </c>
      <c r="H76" s="19" t="str">
        <f>IF(AND($C76&lt;&gt;"",H$15&lt;&gt;""),IFERROR(INDEX(PriceChangeData!$C:$C,MATCH($C76&amp;H$15,PriceChangeData!$F:$F,0)),0)+H75,"")</f>
        <v/>
      </c>
    </row>
    <row r="77" spans="3:8" x14ac:dyDescent="0.25">
      <c r="C77" s="18">
        <f t="shared" si="2"/>
        <v>43262</v>
      </c>
      <c r="D77" s="10">
        <f>IF(AND($C77&lt;&gt;"",D$15&lt;&gt;""),IFERROR(INDEX(PriceChangeData!$C:$C,MATCH($C77&amp;D$15,PriceChangeData!$F:$F,0)),0)+D76,"")</f>
        <v>7.3714796451822953E-2</v>
      </c>
      <c r="E77" s="11" t="str">
        <f>IF(AND($C77&lt;&gt;"",E$15&lt;&gt;""),IFERROR(INDEX(PriceChangeData!$C:$C,MATCH($C77&amp;E$15,PriceChangeData!$F:$F,0)),0)+E76,"")</f>
        <v/>
      </c>
      <c r="F77" s="11" t="str">
        <f>IF(AND($C77&lt;&gt;"",F$15&lt;&gt;""),IFERROR(INDEX(PriceChangeData!$C:$C,MATCH($C77&amp;F$15,PriceChangeData!$F:$F,0)),0)+F76,"")</f>
        <v/>
      </c>
      <c r="G77" s="11" t="str">
        <f>IF(AND($C77&lt;&gt;"",G$15&lt;&gt;""),IFERROR(INDEX(PriceChangeData!$C:$C,MATCH($C77&amp;G$15,PriceChangeData!$F:$F,0)),0)+G76,"")</f>
        <v/>
      </c>
      <c r="H77" s="19" t="str">
        <f>IF(AND($C77&lt;&gt;"",H$15&lt;&gt;""),IFERROR(INDEX(PriceChangeData!$C:$C,MATCH($C77&amp;H$15,PriceChangeData!$F:$F,0)),0)+H76,"")</f>
        <v/>
      </c>
    </row>
    <row r="78" spans="3:8" x14ac:dyDescent="0.25">
      <c r="C78" s="18">
        <f t="shared" si="2"/>
        <v>43263</v>
      </c>
      <c r="D78" s="10">
        <f>IF(AND($C78&lt;&gt;"",D$15&lt;&gt;""),IFERROR(INDEX(PriceChangeData!$C:$C,MATCH($C78&amp;D$15,PriceChangeData!$F:$F,0)),0)+D77,"")</f>
        <v>6.5057499391990764E-2</v>
      </c>
      <c r="E78" s="11" t="str">
        <f>IF(AND($C78&lt;&gt;"",E$15&lt;&gt;""),IFERROR(INDEX(PriceChangeData!$C:$C,MATCH($C78&amp;E$15,PriceChangeData!$F:$F,0)),0)+E77,"")</f>
        <v/>
      </c>
      <c r="F78" s="11" t="str">
        <f>IF(AND($C78&lt;&gt;"",F$15&lt;&gt;""),IFERROR(INDEX(PriceChangeData!$C:$C,MATCH($C78&amp;F$15,PriceChangeData!$F:$F,0)),0)+F77,"")</f>
        <v/>
      </c>
      <c r="G78" s="11" t="str">
        <f>IF(AND($C78&lt;&gt;"",G$15&lt;&gt;""),IFERROR(INDEX(PriceChangeData!$C:$C,MATCH($C78&amp;G$15,PriceChangeData!$F:$F,0)),0)+G77,"")</f>
        <v/>
      </c>
      <c r="H78" s="19" t="str">
        <f>IF(AND($C78&lt;&gt;"",H$15&lt;&gt;""),IFERROR(INDEX(PriceChangeData!$C:$C,MATCH($C78&amp;H$15,PriceChangeData!$F:$F,0)),0)+H77,"")</f>
        <v/>
      </c>
    </row>
    <row r="79" spans="3:8" x14ac:dyDescent="0.25">
      <c r="C79" s="18">
        <f t="shared" si="2"/>
        <v>43264</v>
      </c>
      <c r="D79" s="10">
        <f>IF(AND($C79&lt;&gt;"",D$15&lt;&gt;""),IFERROR(INDEX(PriceChangeData!$C:$C,MATCH($C79&amp;D$15,PriceChangeData!$F:$F,0)),0)+D78,"")</f>
        <v>5.152009481763746E-2</v>
      </c>
      <c r="E79" s="11" t="str">
        <f>IF(AND($C79&lt;&gt;"",E$15&lt;&gt;""),IFERROR(INDEX(PriceChangeData!$C:$C,MATCH($C79&amp;E$15,PriceChangeData!$F:$F,0)),0)+E78,"")</f>
        <v/>
      </c>
      <c r="F79" s="11" t="str">
        <f>IF(AND($C79&lt;&gt;"",F$15&lt;&gt;""),IFERROR(INDEX(PriceChangeData!$C:$C,MATCH($C79&amp;F$15,PriceChangeData!$F:$F,0)),0)+F78,"")</f>
        <v/>
      </c>
      <c r="G79" s="11" t="str">
        <f>IF(AND($C79&lt;&gt;"",G$15&lt;&gt;""),IFERROR(INDEX(PriceChangeData!$C:$C,MATCH($C79&amp;G$15,PriceChangeData!$F:$F,0)),0)+G78,"")</f>
        <v/>
      </c>
      <c r="H79" s="19" t="str">
        <f>IF(AND($C79&lt;&gt;"",H$15&lt;&gt;""),IFERROR(INDEX(PriceChangeData!$C:$C,MATCH($C79&amp;H$15,PriceChangeData!$F:$F,0)),0)+H78,"")</f>
        <v/>
      </c>
    </row>
    <row r="80" spans="3:8" x14ac:dyDescent="0.25">
      <c r="C80" s="18">
        <f t="shared" si="2"/>
        <v>43265</v>
      </c>
      <c r="D80" s="10">
        <f>IF(AND($C80&lt;&gt;"",D$15&lt;&gt;""),IFERROR(INDEX(PriceChangeData!$C:$C,MATCH($C80&amp;D$15,PriceChangeData!$F:$F,0)),0)+D79,"")</f>
        <v>6.3438634878713374E-2</v>
      </c>
      <c r="E80" s="11" t="str">
        <f>IF(AND($C80&lt;&gt;"",E$15&lt;&gt;""),IFERROR(INDEX(PriceChangeData!$C:$C,MATCH($C80&amp;E$15,PriceChangeData!$F:$F,0)),0)+E79,"")</f>
        <v/>
      </c>
      <c r="F80" s="11" t="str">
        <f>IF(AND($C80&lt;&gt;"",F$15&lt;&gt;""),IFERROR(INDEX(PriceChangeData!$C:$C,MATCH($C80&amp;F$15,PriceChangeData!$F:$F,0)),0)+F79,"")</f>
        <v/>
      </c>
      <c r="G80" s="11" t="str">
        <f>IF(AND($C80&lt;&gt;"",G$15&lt;&gt;""),IFERROR(INDEX(PriceChangeData!$C:$C,MATCH($C80&amp;G$15,PriceChangeData!$F:$F,0)),0)+G79,"")</f>
        <v/>
      </c>
      <c r="H80" s="19" t="str">
        <f>IF(AND($C80&lt;&gt;"",H$15&lt;&gt;""),IFERROR(INDEX(PriceChangeData!$C:$C,MATCH($C80&amp;H$15,PriceChangeData!$F:$F,0)),0)+H79,"")</f>
        <v/>
      </c>
    </row>
    <row r="81" spans="3:8" x14ac:dyDescent="0.25">
      <c r="C81" s="18">
        <f t="shared" si="2"/>
        <v>43266</v>
      </c>
      <c r="D81" s="10">
        <f>IF(AND($C81&lt;&gt;"",D$15&lt;&gt;""),IFERROR(INDEX(PriceChangeData!$C:$C,MATCH($C81&amp;D$15,PriceChangeData!$F:$F,0)),0)+D80,"")</f>
        <v>7.1708270163261603E-2</v>
      </c>
      <c r="E81" s="11" t="str">
        <f>IF(AND($C81&lt;&gt;"",E$15&lt;&gt;""),IFERROR(INDEX(PriceChangeData!$C:$C,MATCH($C81&amp;E$15,PriceChangeData!$F:$F,0)),0)+E80,"")</f>
        <v/>
      </c>
      <c r="F81" s="11" t="str">
        <f>IF(AND($C81&lt;&gt;"",F$15&lt;&gt;""),IFERROR(INDEX(PriceChangeData!$C:$C,MATCH($C81&amp;F$15,PriceChangeData!$F:$F,0)),0)+F80,"")</f>
        <v/>
      </c>
      <c r="G81" s="11" t="str">
        <f>IF(AND($C81&lt;&gt;"",G$15&lt;&gt;""),IFERROR(INDEX(PriceChangeData!$C:$C,MATCH($C81&amp;G$15,PriceChangeData!$F:$F,0)),0)+G80,"")</f>
        <v/>
      </c>
      <c r="H81" s="19" t="str">
        <f>IF(AND($C81&lt;&gt;"",H$15&lt;&gt;""),IFERROR(INDEX(PriceChangeData!$C:$C,MATCH($C81&amp;H$15,PriceChangeData!$F:$F,0)),0)+H80,"")</f>
        <v/>
      </c>
    </row>
    <row r="82" spans="3:8" x14ac:dyDescent="0.25">
      <c r="C82" s="18">
        <f t="shared" ref="C82:C145" si="3">IFERROR(IF(C81+1&gt;C$12,"",C81+1),"")</f>
        <v>43267</v>
      </c>
      <c r="D82" s="10">
        <f>IF(AND($C82&lt;&gt;"",D$15&lt;&gt;""),IFERROR(INDEX(PriceChangeData!$C:$C,MATCH($C82&amp;D$15,PriceChangeData!$F:$F,0)),0)+D81,"")</f>
        <v>7.1708270163261603E-2</v>
      </c>
      <c r="E82" s="11" t="str">
        <f>IF(AND($C82&lt;&gt;"",E$15&lt;&gt;""),IFERROR(INDEX(PriceChangeData!$C:$C,MATCH($C82&amp;E$15,PriceChangeData!$F:$F,0)),0)+E81,"")</f>
        <v/>
      </c>
      <c r="F82" s="11" t="str">
        <f>IF(AND($C82&lt;&gt;"",F$15&lt;&gt;""),IFERROR(INDEX(PriceChangeData!$C:$C,MATCH($C82&amp;F$15,PriceChangeData!$F:$F,0)),0)+F81,"")</f>
        <v/>
      </c>
      <c r="G82" s="11" t="str">
        <f>IF(AND($C82&lt;&gt;"",G$15&lt;&gt;""),IFERROR(INDEX(PriceChangeData!$C:$C,MATCH($C82&amp;G$15,PriceChangeData!$F:$F,0)),0)+G81,"")</f>
        <v/>
      </c>
      <c r="H82" s="19" t="str">
        <f>IF(AND($C82&lt;&gt;"",H$15&lt;&gt;""),IFERROR(INDEX(PriceChangeData!$C:$C,MATCH($C82&amp;H$15,PriceChangeData!$F:$F,0)),0)+H81,"")</f>
        <v/>
      </c>
    </row>
    <row r="83" spans="3:8" x14ac:dyDescent="0.25">
      <c r="C83" s="18">
        <f t="shared" si="3"/>
        <v>43268</v>
      </c>
      <c r="D83" s="10">
        <f>IF(AND($C83&lt;&gt;"",D$15&lt;&gt;""),IFERROR(INDEX(PriceChangeData!$C:$C,MATCH($C83&amp;D$15,PriceChangeData!$F:$F,0)),0)+D82,"")</f>
        <v>7.1708270163261603E-2</v>
      </c>
      <c r="E83" s="11" t="str">
        <f>IF(AND($C83&lt;&gt;"",E$15&lt;&gt;""),IFERROR(INDEX(PriceChangeData!$C:$C,MATCH($C83&amp;E$15,PriceChangeData!$F:$F,0)),0)+E82,"")</f>
        <v/>
      </c>
      <c r="F83" s="11" t="str">
        <f>IF(AND($C83&lt;&gt;"",F$15&lt;&gt;""),IFERROR(INDEX(PriceChangeData!$C:$C,MATCH($C83&amp;F$15,PriceChangeData!$F:$F,0)),0)+F82,"")</f>
        <v/>
      </c>
      <c r="G83" s="11" t="str">
        <f>IF(AND($C83&lt;&gt;"",G$15&lt;&gt;""),IFERROR(INDEX(PriceChangeData!$C:$C,MATCH($C83&amp;G$15,PriceChangeData!$F:$F,0)),0)+G82,"")</f>
        <v/>
      </c>
      <c r="H83" s="19" t="str">
        <f>IF(AND($C83&lt;&gt;"",H$15&lt;&gt;""),IFERROR(INDEX(PriceChangeData!$C:$C,MATCH($C83&amp;H$15,PriceChangeData!$F:$F,0)),0)+H82,"")</f>
        <v/>
      </c>
    </row>
    <row r="84" spans="3:8" x14ac:dyDescent="0.25">
      <c r="C84" s="18">
        <f t="shared" si="3"/>
        <v>43269</v>
      </c>
      <c r="D84" s="10">
        <f>IF(AND($C84&lt;&gt;"",D$15&lt;&gt;""),IFERROR(INDEX(PriceChangeData!$C:$C,MATCH($C84&amp;D$15,PriceChangeData!$F:$F,0)),0)+D83,"")</f>
        <v>6.070110662705492E-2</v>
      </c>
      <c r="E84" s="11" t="str">
        <f>IF(AND($C84&lt;&gt;"",E$15&lt;&gt;""),IFERROR(INDEX(PriceChangeData!$C:$C,MATCH($C84&amp;E$15,PriceChangeData!$F:$F,0)),0)+E83,"")</f>
        <v/>
      </c>
      <c r="F84" s="11" t="str">
        <f>IF(AND($C84&lt;&gt;"",F$15&lt;&gt;""),IFERROR(INDEX(PriceChangeData!$C:$C,MATCH($C84&amp;F$15,PriceChangeData!$F:$F,0)),0)+F83,"")</f>
        <v/>
      </c>
      <c r="G84" s="11" t="str">
        <f>IF(AND($C84&lt;&gt;"",G$15&lt;&gt;""),IFERROR(INDEX(PriceChangeData!$C:$C,MATCH($C84&amp;G$15,PriceChangeData!$F:$F,0)),0)+G83,"")</f>
        <v/>
      </c>
      <c r="H84" s="19" t="str">
        <f>IF(AND($C84&lt;&gt;"",H$15&lt;&gt;""),IFERROR(INDEX(PriceChangeData!$C:$C,MATCH($C84&amp;H$15,PriceChangeData!$F:$F,0)),0)+H83,"")</f>
        <v/>
      </c>
    </row>
    <row r="85" spans="3:8" x14ac:dyDescent="0.25">
      <c r="C85" s="18">
        <f t="shared" si="3"/>
        <v>43270</v>
      </c>
      <c r="D85" s="10">
        <f>IF(AND($C85&lt;&gt;"",D$15&lt;&gt;""),IFERROR(INDEX(PriceChangeData!$C:$C,MATCH($C85&amp;D$15,PriceChangeData!$F:$F,0)),0)+D84,"")</f>
        <v>5.5916579644235784E-2</v>
      </c>
      <c r="E85" s="11" t="str">
        <f>IF(AND($C85&lt;&gt;"",E$15&lt;&gt;""),IFERROR(INDEX(PriceChangeData!$C:$C,MATCH($C85&amp;E$15,PriceChangeData!$F:$F,0)),0)+E84,"")</f>
        <v/>
      </c>
      <c r="F85" s="11" t="str">
        <f>IF(AND($C85&lt;&gt;"",F$15&lt;&gt;""),IFERROR(INDEX(PriceChangeData!$C:$C,MATCH($C85&amp;F$15,PriceChangeData!$F:$F,0)),0)+F84,"")</f>
        <v/>
      </c>
      <c r="G85" s="11" t="str">
        <f>IF(AND($C85&lt;&gt;"",G$15&lt;&gt;""),IFERROR(INDEX(PriceChangeData!$C:$C,MATCH($C85&amp;G$15,PriceChangeData!$F:$F,0)),0)+G84,"")</f>
        <v/>
      </c>
      <c r="H85" s="19" t="str">
        <f>IF(AND($C85&lt;&gt;"",H$15&lt;&gt;""),IFERROR(INDEX(PriceChangeData!$C:$C,MATCH($C85&amp;H$15,PriceChangeData!$F:$F,0)),0)+H84,"")</f>
        <v/>
      </c>
    </row>
    <row r="86" spans="3:8" x14ac:dyDescent="0.25">
      <c r="C86" s="18">
        <f t="shared" si="3"/>
        <v>43271</v>
      </c>
      <c r="D86" s="10">
        <f>IF(AND($C86&lt;&gt;"",D$15&lt;&gt;""),IFERROR(INDEX(PriceChangeData!$C:$C,MATCH($C86&amp;D$15,PriceChangeData!$F:$F,0)),0)+D85,"")</f>
        <v>5.8362199550997355E-2</v>
      </c>
      <c r="E86" s="11" t="str">
        <f>IF(AND($C86&lt;&gt;"",E$15&lt;&gt;""),IFERROR(INDEX(PriceChangeData!$C:$C,MATCH($C86&amp;E$15,PriceChangeData!$F:$F,0)),0)+E85,"")</f>
        <v/>
      </c>
      <c r="F86" s="11" t="str">
        <f>IF(AND($C86&lt;&gt;"",F$15&lt;&gt;""),IFERROR(INDEX(PriceChangeData!$C:$C,MATCH($C86&amp;F$15,PriceChangeData!$F:$F,0)),0)+F85,"")</f>
        <v/>
      </c>
      <c r="G86" s="11" t="str">
        <f>IF(AND($C86&lt;&gt;"",G$15&lt;&gt;""),IFERROR(INDEX(PriceChangeData!$C:$C,MATCH($C86&amp;G$15,PriceChangeData!$F:$F,0)),0)+G85,"")</f>
        <v/>
      </c>
      <c r="H86" s="19" t="str">
        <f>IF(AND($C86&lt;&gt;"",H$15&lt;&gt;""),IFERROR(INDEX(PriceChangeData!$C:$C,MATCH($C86&amp;H$15,PriceChangeData!$F:$F,0)),0)+H85,"")</f>
        <v/>
      </c>
    </row>
    <row r="87" spans="3:8" x14ac:dyDescent="0.25">
      <c r="C87" s="18">
        <f t="shared" si="3"/>
        <v>43272</v>
      </c>
      <c r="D87" s="10">
        <f>IF(AND($C87&lt;&gt;"",D$15&lt;&gt;""),IFERROR(INDEX(PriceChangeData!$C:$C,MATCH($C87&amp;D$15,PriceChangeData!$F:$F,0)),0)+D86,"")</f>
        <v>3.0497423726943335E-2</v>
      </c>
      <c r="E87" s="11" t="str">
        <f>IF(AND($C87&lt;&gt;"",E$15&lt;&gt;""),IFERROR(INDEX(PriceChangeData!$C:$C,MATCH($C87&amp;E$15,PriceChangeData!$F:$F,0)),0)+E86,"")</f>
        <v/>
      </c>
      <c r="F87" s="11" t="str">
        <f>IF(AND($C87&lt;&gt;"",F$15&lt;&gt;""),IFERROR(INDEX(PriceChangeData!$C:$C,MATCH($C87&amp;F$15,PriceChangeData!$F:$F,0)),0)+F86,"")</f>
        <v/>
      </c>
      <c r="G87" s="11" t="str">
        <f>IF(AND($C87&lt;&gt;"",G$15&lt;&gt;""),IFERROR(INDEX(PriceChangeData!$C:$C,MATCH($C87&amp;G$15,PriceChangeData!$F:$F,0)),0)+G86,"")</f>
        <v/>
      </c>
      <c r="H87" s="19" t="str">
        <f>IF(AND($C87&lt;&gt;"",H$15&lt;&gt;""),IFERROR(INDEX(PriceChangeData!$C:$C,MATCH($C87&amp;H$15,PriceChangeData!$F:$F,0)),0)+H86,"")</f>
        <v/>
      </c>
    </row>
    <row r="88" spans="3:8" x14ac:dyDescent="0.25">
      <c r="C88" s="18">
        <f t="shared" si="3"/>
        <v>43273</v>
      </c>
      <c r="D88" s="10">
        <f>IF(AND($C88&lt;&gt;"",D$15&lt;&gt;""),IFERROR(INDEX(PriceChangeData!$C:$C,MATCH($C88&amp;D$15,PriceChangeData!$F:$F,0)),0)+D87,"")</f>
        <v>8.7016400555540788E-3</v>
      </c>
      <c r="E88" s="11" t="str">
        <f>IF(AND($C88&lt;&gt;"",E$15&lt;&gt;""),IFERROR(INDEX(PriceChangeData!$C:$C,MATCH($C88&amp;E$15,PriceChangeData!$F:$F,0)),0)+E87,"")</f>
        <v/>
      </c>
      <c r="F88" s="11" t="str">
        <f>IF(AND($C88&lt;&gt;"",F$15&lt;&gt;""),IFERROR(INDEX(PriceChangeData!$C:$C,MATCH($C88&amp;F$15,PriceChangeData!$F:$F,0)),0)+F87,"")</f>
        <v/>
      </c>
      <c r="G88" s="11" t="str">
        <f>IF(AND($C88&lt;&gt;"",G$15&lt;&gt;""),IFERROR(INDEX(PriceChangeData!$C:$C,MATCH($C88&amp;G$15,PriceChangeData!$F:$F,0)),0)+G87,"")</f>
        <v/>
      </c>
      <c r="H88" s="19" t="str">
        <f>IF(AND($C88&lt;&gt;"",H$15&lt;&gt;""),IFERROR(INDEX(PriceChangeData!$C:$C,MATCH($C88&amp;H$15,PriceChangeData!$F:$F,0)),0)+H87,"")</f>
        <v/>
      </c>
    </row>
    <row r="89" spans="3:8" x14ac:dyDescent="0.25">
      <c r="C89" s="18">
        <f t="shared" si="3"/>
        <v>43274</v>
      </c>
      <c r="D89" s="10">
        <f>IF(AND($C89&lt;&gt;"",D$15&lt;&gt;""),IFERROR(INDEX(PriceChangeData!$C:$C,MATCH($C89&amp;D$15,PriceChangeData!$F:$F,0)),0)+D88,"")</f>
        <v>8.7016400555540788E-3</v>
      </c>
      <c r="E89" s="11" t="str">
        <f>IF(AND($C89&lt;&gt;"",E$15&lt;&gt;""),IFERROR(INDEX(PriceChangeData!$C:$C,MATCH($C89&amp;E$15,PriceChangeData!$F:$F,0)),0)+E88,"")</f>
        <v/>
      </c>
      <c r="F89" s="11" t="str">
        <f>IF(AND($C89&lt;&gt;"",F$15&lt;&gt;""),IFERROR(INDEX(PriceChangeData!$C:$C,MATCH($C89&amp;F$15,PriceChangeData!$F:$F,0)),0)+F88,"")</f>
        <v/>
      </c>
      <c r="G89" s="11" t="str">
        <f>IF(AND($C89&lt;&gt;"",G$15&lt;&gt;""),IFERROR(INDEX(PriceChangeData!$C:$C,MATCH($C89&amp;G$15,PriceChangeData!$F:$F,0)),0)+G88,"")</f>
        <v/>
      </c>
      <c r="H89" s="19" t="str">
        <f>IF(AND($C89&lt;&gt;"",H$15&lt;&gt;""),IFERROR(INDEX(PriceChangeData!$C:$C,MATCH($C89&amp;H$15,PriceChangeData!$F:$F,0)),0)+H88,"")</f>
        <v/>
      </c>
    </row>
    <row r="90" spans="3:8" x14ac:dyDescent="0.25">
      <c r="C90" s="18">
        <f t="shared" si="3"/>
        <v>43275</v>
      </c>
      <c r="D90" s="10">
        <f>IF(AND($C90&lt;&gt;"",D$15&lt;&gt;""),IFERROR(INDEX(PriceChangeData!$C:$C,MATCH($C90&amp;D$15,PriceChangeData!$F:$F,0)),0)+D89,"")</f>
        <v>8.7016400555540788E-3</v>
      </c>
      <c r="E90" s="11" t="str">
        <f>IF(AND($C90&lt;&gt;"",E$15&lt;&gt;""),IFERROR(INDEX(PriceChangeData!$C:$C,MATCH($C90&amp;E$15,PriceChangeData!$F:$F,0)),0)+E89,"")</f>
        <v/>
      </c>
      <c r="F90" s="11" t="str">
        <f>IF(AND($C90&lt;&gt;"",F$15&lt;&gt;""),IFERROR(INDEX(PriceChangeData!$C:$C,MATCH($C90&amp;F$15,PriceChangeData!$F:$F,0)),0)+F89,"")</f>
        <v/>
      </c>
      <c r="G90" s="11" t="str">
        <f>IF(AND($C90&lt;&gt;"",G$15&lt;&gt;""),IFERROR(INDEX(PriceChangeData!$C:$C,MATCH($C90&amp;G$15,PriceChangeData!$F:$F,0)),0)+G89,"")</f>
        <v/>
      </c>
      <c r="H90" s="19" t="str">
        <f>IF(AND($C90&lt;&gt;"",H$15&lt;&gt;""),IFERROR(INDEX(PriceChangeData!$C:$C,MATCH($C90&amp;H$15,PriceChangeData!$F:$F,0)),0)+H89,"")</f>
        <v/>
      </c>
    </row>
    <row r="91" spans="3:8" x14ac:dyDescent="0.25">
      <c r="C91" s="18">
        <f t="shared" si="3"/>
        <v>43276</v>
      </c>
      <c r="D91" s="10">
        <f>IF(AND($C91&lt;&gt;"",D$15&lt;&gt;""),IFERROR(INDEX(PriceChangeData!$C:$C,MATCH($C91&amp;D$15,PriceChangeData!$F:$F,0)),0)+D90,"")</f>
        <v>3.9843705327284804E-3</v>
      </c>
      <c r="E91" s="11" t="str">
        <f>IF(AND($C91&lt;&gt;"",E$15&lt;&gt;""),IFERROR(INDEX(PriceChangeData!$C:$C,MATCH($C91&amp;E$15,PriceChangeData!$F:$F,0)),0)+E90,"")</f>
        <v/>
      </c>
      <c r="F91" s="11" t="str">
        <f>IF(AND($C91&lt;&gt;"",F$15&lt;&gt;""),IFERROR(INDEX(PriceChangeData!$C:$C,MATCH($C91&amp;F$15,PriceChangeData!$F:$F,0)),0)+F90,"")</f>
        <v/>
      </c>
      <c r="G91" s="11" t="str">
        <f>IF(AND($C91&lt;&gt;"",G$15&lt;&gt;""),IFERROR(INDEX(PriceChangeData!$C:$C,MATCH($C91&amp;G$15,PriceChangeData!$F:$F,0)),0)+G90,"")</f>
        <v/>
      </c>
      <c r="H91" s="19" t="str">
        <f>IF(AND($C91&lt;&gt;"",H$15&lt;&gt;""),IFERROR(INDEX(PriceChangeData!$C:$C,MATCH($C91&amp;H$15,PriceChangeData!$F:$F,0)),0)+H90,"")</f>
        <v/>
      </c>
    </row>
    <row r="92" spans="3:8" x14ac:dyDescent="0.25">
      <c r="C92" s="18">
        <f t="shared" si="3"/>
        <v>43277</v>
      </c>
      <c r="D92" s="10">
        <f>IF(AND($C92&lt;&gt;"",D$15&lt;&gt;""),IFERROR(INDEX(PriceChangeData!$C:$C,MATCH($C92&amp;D$15,PriceChangeData!$F:$F,0)),0)+D91,"")</f>
        <v>-6.0603331075921741E-3</v>
      </c>
      <c r="E92" s="11" t="str">
        <f>IF(AND($C92&lt;&gt;"",E$15&lt;&gt;""),IFERROR(INDEX(PriceChangeData!$C:$C,MATCH($C92&amp;E$15,PriceChangeData!$F:$F,0)),0)+E91,"")</f>
        <v/>
      </c>
      <c r="F92" s="11" t="str">
        <f>IF(AND($C92&lt;&gt;"",F$15&lt;&gt;""),IFERROR(INDEX(PriceChangeData!$C:$C,MATCH($C92&amp;F$15,PriceChangeData!$F:$F,0)),0)+F91,"")</f>
        <v/>
      </c>
      <c r="G92" s="11" t="str">
        <f>IF(AND($C92&lt;&gt;"",G$15&lt;&gt;""),IFERROR(INDEX(PriceChangeData!$C:$C,MATCH($C92&amp;G$15,PriceChangeData!$F:$F,0)),0)+G91,"")</f>
        <v/>
      </c>
      <c r="H92" s="19" t="str">
        <f>IF(AND($C92&lt;&gt;"",H$15&lt;&gt;""),IFERROR(INDEX(PriceChangeData!$C:$C,MATCH($C92&amp;H$15,PriceChangeData!$F:$F,0)),0)+H91,"")</f>
        <v/>
      </c>
    </row>
    <row r="93" spans="3:8" x14ac:dyDescent="0.25">
      <c r="C93" s="18">
        <f t="shared" si="3"/>
        <v>43278</v>
      </c>
      <c r="D93" s="10">
        <f>IF(AND($C93&lt;&gt;"",D$15&lt;&gt;""),IFERROR(INDEX(PriceChangeData!$C:$C,MATCH($C93&amp;D$15,PriceChangeData!$F:$F,0)),0)+D92,"")</f>
        <v>-1.2704112899424788E-2</v>
      </c>
      <c r="E93" s="11" t="str">
        <f>IF(AND($C93&lt;&gt;"",E$15&lt;&gt;""),IFERROR(INDEX(PriceChangeData!$C:$C,MATCH($C93&amp;E$15,PriceChangeData!$F:$F,0)),0)+E92,"")</f>
        <v/>
      </c>
      <c r="F93" s="11" t="str">
        <f>IF(AND($C93&lt;&gt;"",F$15&lt;&gt;""),IFERROR(INDEX(PriceChangeData!$C:$C,MATCH($C93&amp;F$15,PriceChangeData!$F:$F,0)),0)+F92,"")</f>
        <v/>
      </c>
      <c r="G93" s="11" t="str">
        <f>IF(AND($C93&lt;&gt;"",G$15&lt;&gt;""),IFERROR(INDEX(PriceChangeData!$C:$C,MATCH($C93&amp;G$15,PriceChangeData!$F:$F,0)),0)+G92,"")</f>
        <v/>
      </c>
      <c r="H93" s="19" t="str">
        <f>IF(AND($C93&lt;&gt;"",H$15&lt;&gt;""),IFERROR(INDEX(PriceChangeData!$C:$C,MATCH($C93&amp;H$15,PriceChangeData!$F:$F,0)),0)+H92,"")</f>
        <v/>
      </c>
    </row>
    <row r="94" spans="3:8" x14ac:dyDescent="0.25">
      <c r="C94" s="18">
        <f t="shared" si="3"/>
        <v>43279</v>
      </c>
      <c r="D94" s="10">
        <f>IF(AND($C94&lt;&gt;"",D$15&lt;&gt;""),IFERROR(INDEX(PriceChangeData!$C:$C,MATCH($C94&amp;D$15,PriceChangeData!$F:$F,0)),0)+D93,"")</f>
        <v>-2.7012481354541113E-3</v>
      </c>
      <c r="E94" s="11" t="str">
        <f>IF(AND($C94&lt;&gt;"",E$15&lt;&gt;""),IFERROR(INDEX(PriceChangeData!$C:$C,MATCH($C94&amp;E$15,PriceChangeData!$F:$F,0)),0)+E93,"")</f>
        <v/>
      </c>
      <c r="F94" s="11" t="str">
        <f>IF(AND($C94&lt;&gt;"",F$15&lt;&gt;""),IFERROR(INDEX(PriceChangeData!$C:$C,MATCH($C94&amp;F$15,PriceChangeData!$F:$F,0)),0)+F93,"")</f>
        <v/>
      </c>
      <c r="G94" s="11" t="str">
        <f>IF(AND($C94&lt;&gt;"",G$15&lt;&gt;""),IFERROR(INDEX(PriceChangeData!$C:$C,MATCH($C94&amp;G$15,PriceChangeData!$F:$F,0)),0)+G93,"")</f>
        <v/>
      </c>
      <c r="H94" s="19" t="str">
        <f>IF(AND($C94&lt;&gt;"",H$15&lt;&gt;""),IFERROR(INDEX(PriceChangeData!$C:$C,MATCH($C94&amp;H$15,PriceChangeData!$F:$F,0)),0)+H93,"")</f>
        <v/>
      </c>
    </row>
    <row r="95" spans="3:8" x14ac:dyDescent="0.25">
      <c r="C95" s="18">
        <f t="shared" si="3"/>
        <v>43280</v>
      </c>
      <c r="D95" s="10">
        <f>IF(AND($C95&lt;&gt;"",D$15&lt;&gt;""),IFERROR(INDEX(PriceChangeData!$C:$C,MATCH($C95&amp;D$15,PriceChangeData!$F:$F,0)),0)+D94,"")</f>
        <v>-3.2345242241095095E-4</v>
      </c>
      <c r="E95" s="11" t="str">
        <f>IF(AND($C95&lt;&gt;"",E$15&lt;&gt;""),IFERROR(INDEX(PriceChangeData!$C:$C,MATCH($C95&amp;E$15,PriceChangeData!$F:$F,0)),0)+E94,"")</f>
        <v/>
      </c>
      <c r="F95" s="11" t="str">
        <f>IF(AND($C95&lt;&gt;"",F$15&lt;&gt;""),IFERROR(INDEX(PriceChangeData!$C:$C,MATCH($C95&amp;F$15,PriceChangeData!$F:$F,0)),0)+F94,"")</f>
        <v/>
      </c>
      <c r="G95" s="11" t="str">
        <f>IF(AND($C95&lt;&gt;"",G$15&lt;&gt;""),IFERROR(INDEX(PriceChangeData!$C:$C,MATCH($C95&amp;G$15,PriceChangeData!$F:$F,0)),0)+G94,"")</f>
        <v/>
      </c>
      <c r="H95" s="19" t="str">
        <f>IF(AND($C95&lt;&gt;"",H$15&lt;&gt;""),IFERROR(INDEX(PriceChangeData!$C:$C,MATCH($C95&amp;H$15,PriceChangeData!$F:$F,0)),0)+H94,"")</f>
        <v/>
      </c>
    </row>
    <row r="96" spans="3:8" x14ac:dyDescent="0.25">
      <c r="C96" s="18">
        <f t="shared" si="3"/>
        <v>43281</v>
      </c>
      <c r="D96" s="10">
        <f>IF(AND($C96&lt;&gt;"",D$15&lt;&gt;""),IFERROR(INDEX(PriceChangeData!$C:$C,MATCH($C96&amp;D$15,PriceChangeData!$F:$F,0)),0)+D95,"")</f>
        <v>-3.2345242241095095E-4</v>
      </c>
      <c r="E96" s="11" t="str">
        <f>IF(AND($C96&lt;&gt;"",E$15&lt;&gt;""),IFERROR(INDEX(PriceChangeData!$C:$C,MATCH($C96&amp;E$15,PriceChangeData!$F:$F,0)),0)+E95,"")</f>
        <v/>
      </c>
      <c r="F96" s="11" t="str">
        <f>IF(AND($C96&lt;&gt;"",F$15&lt;&gt;""),IFERROR(INDEX(PriceChangeData!$C:$C,MATCH($C96&amp;F$15,PriceChangeData!$F:$F,0)),0)+F95,"")</f>
        <v/>
      </c>
      <c r="G96" s="11" t="str">
        <f>IF(AND($C96&lt;&gt;"",G$15&lt;&gt;""),IFERROR(INDEX(PriceChangeData!$C:$C,MATCH($C96&amp;G$15,PriceChangeData!$F:$F,0)),0)+G95,"")</f>
        <v/>
      </c>
      <c r="H96" s="19" t="str">
        <f>IF(AND($C96&lt;&gt;"",H$15&lt;&gt;""),IFERROR(INDEX(PriceChangeData!$C:$C,MATCH($C96&amp;H$15,PriceChangeData!$F:$F,0)),0)+H95,"")</f>
        <v/>
      </c>
    </row>
    <row r="97" spans="3:8" x14ac:dyDescent="0.25">
      <c r="C97" s="18">
        <f t="shared" si="3"/>
        <v>43282</v>
      </c>
      <c r="D97" s="10">
        <f>IF(AND($C97&lt;&gt;"",D$15&lt;&gt;""),IFERROR(INDEX(PriceChangeData!$C:$C,MATCH($C97&amp;D$15,PriceChangeData!$F:$F,0)),0)+D96,"")</f>
        <v>-3.2345242241095095E-4</v>
      </c>
      <c r="E97" s="11" t="str">
        <f>IF(AND($C97&lt;&gt;"",E$15&lt;&gt;""),IFERROR(INDEX(PriceChangeData!$C:$C,MATCH($C97&amp;E$15,PriceChangeData!$F:$F,0)),0)+E96,"")</f>
        <v/>
      </c>
      <c r="F97" s="11" t="str">
        <f>IF(AND($C97&lt;&gt;"",F$15&lt;&gt;""),IFERROR(INDEX(PriceChangeData!$C:$C,MATCH($C97&amp;F$15,PriceChangeData!$F:$F,0)),0)+F96,"")</f>
        <v/>
      </c>
      <c r="G97" s="11" t="str">
        <f>IF(AND($C97&lt;&gt;"",G$15&lt;&gt;""),IFERROR(INDEX(PriceChangeData!$C:$C,MATCH($C97&amp;G$15,PriceChangeData!$F:$F,0)),0)+G96,"")</f>
        <v/>
      </c>
      <c r="H97" s="19" t="str">
        <f>IF(AND($C97&lt;&gt;"",H$15&lt;&gt;""),IFERROR(INDEX(PriceChangeData!$C:$C,MATCH($C97&amp;H$15,PriceChangeData!$F:$F,0)),0)+H96,"")</f>
        <v/>
      </c>
    </row>
    <row r="98" spans="3:8" x14ac:dyDescent="0.25">
      <c r="C98" s="18">
        <f t="shared" si="3"/>
        <v>43283</v>
      </c>
      <c r="D98" s="10">
        <f>IF(AND($C98&lt;&gt;"",D$15&lt;&gt;""),IFERROR(INDEX(PriceChangeData!$C:$C,MATCH($C98&amp;D$15,PriceChangeData!$F:$F,0)),0)+D97,"")</f>
        <v>4.6283913768477855E-3</v>
      </c>
      <c r="E98" s="11" t="str">
        <f>IF(AND($C98&lt;&gt;"",E$15&lt;&gt;""),IFERROR(INDEX(PriceChangeData!$C:$C,MATCH($C98&amp;E$15,PriceChangeData!$F:$F,0)),0)+E97,"")</f>
        <v/>
      </c>
      <c r="F98" s="11" t="str">
        <f>IF(AND($C98&lt;&gt;"",F$15&lt;&gt;""),IFERROR(INDEX(PriceChangeData!$C:$C,MATCH($C98&amp;F$15,PriceChangeData!$F:$F,0)),0)+F97,"")</f>
        <v/>
      </c>
      <c r="G98" s="11" t="str">
        <f>IF(AND($C98&lt;&gt;"",G$15&lt;&gt;""),IFERROR(INDEX(PriceChangeData!$C:$C,MATCH($C98&amp;G$15,PriceChangeData!$F:$F,0)),0)+G97,"")</f>
        <v/>
      </c>
      <c r="H98" s="19" t="str">
        <f>IF(AND($C98&lt;&gt;"",H$15&lt;&gt;""),IFERROR(INDEX(PriceChangeData!$C:$C,MATCH($C98&amp;H$15,PriceChangeData!$F:$F,0)),0)+H97,"")</f>
        <v/>
      </c>
    </row>
    <row r="99" spans="3:8" x14ac:dyDescent="0.25">
      <c r="C99" s="18">
        <f t="shared" si="3"/>
        <v>43284</v>
      </c>
      <c r="D99" s="10">
        <f>IF(AND($C99&lt;&gt;"",D$15&lt;&gt;""),IFERROR(INDEX(PriceChangeData!$C:$C,MATCH($C99&amp;D$15,PriceChangeData!$F:$F,0)),0)+D98,"")</f>
        <v>9.984315443357511E-3</v>
      </c>
      <c r="E99" s="11" t="str">
        <f>IF(AND($C99&lt;&gt;"",E$15&lt;&gt;""),IFERROR(INDEX(PriceChangeData!$C:$C,MATCH($C99&amp;E$15,PriceChangeData!$F:$F,0)),0)+E98,"")</f>
        <v/>
      </c>
      <c r="F99" s="11" t="str">
        <f>IF(AND($C99&lt;&gt;"",F$15&lt;&gt;""),IFERROR(INDEX(PriceChangeData!$C:$C,MATCH($C99&amp;F$15,PriceChangeData!$F:$F,0)),0)+F98,"")</f>
        <v/>
      </c>
      <c r="G99" s="11" t="str">
        <f>IF(AND($C99&lt;&gt;"",G$15&lt;&gt;""),IFERROR(INDEX(PriceChangeData!$C:$C,MATCH($C99&amp;G$15,PriceChangeData!$F:$F,0)),0)+G98,"")</f>
        <v/>
      </c>
      <c r="H99" s="19" t="str">
        <f>IF(AND($C99&lt;&gt;"",H$15&lt;&gt;""),IFERROR(INDEX(PriceChangeData!$C:$C,MATCH($C99&amp;H$15,PriceChangeData!$F:$F,0)),0)+H98,"")</f>
        <v/>
      </c>
    </row>
    <row r="100" spans="3:8" x14ac:dyDescent="0.25">
      <c r="C100" s="18">
        <f t="shared" si="3"/>
        <v>43285</v>
      </c>
      <c r="D100" s="10">
        <f>IF(AND($C100&lt;&gt;"",D$15&lt;&gt;""),IFERROR(INDEX(PriceChangeData!$C:$C,MATCH($C100&amp;D$15,PriceChangeData!$F:$F,0)),0)+D99,"")</f>
        <v>9.984315443357511E-3</v>
      </c>
      <c r="E100" s="11" t="str">
        <f>IF(AND($C100&lt;&gt;"",E$15&lt;&gt;""),IFERROR(INDEX(PriceChangeData!$C:$C,MATCH($C100&amp;E$15,PriceChangeData!$F:$F,0)),0)+E99,"")</f>
        <v/>
      </c>
      <c r="F100" s="11" t="str">
        <f>IF(AND($C100&lt;&gt;"",F$15&lt;&gt;""),IFERROR(INDEX(PriceChangeData!$C:$C,MATCH($C100&amp;F$15,PriceChangeData!$F:$F,0)),0)+F99,"")</f>
        <v/>
      </c>
      <c r="G100" s="11" t="str">
        <f>IF(AND($C100&lt;&gt;"",G$15&lt;&gt;""),IFERROR(INDEX(PriceChangeData!$C:$C,MATCH($C100&amp;G$15,PriceChangeData!$F:$F,0)),0)+G99,"")</f>
        <v/>
      </c>
      <c r="H100" s="19" t="str">
        <f>IF(AND($C100&lt;&gt;"",H$15&lt;&gt;""),IFERROR(INDEX(PriceChangeData!$C:$C,MATCH($C100&amp;H$15,PriceChangeData!$F:$F,0)),0)+H99,"")</f>
        <v/>
      </c>
    </row>
    <row r="101" spans="3:8" x14ac:dyDescent="0.25">
      <c r="C101" s="18">
        <f t="shared" si="3"/>
        <v>43286</v>
      </c>
      <c r="D101" s="10">
        <f>IF(AND($C101&lt;&gt;"",D$15&lt;&gt;""),IFERROR(INDEX(PriceChangeData!$C:$C,MATCH($C101&amp;D$15,PriceChangeData!$F:$F,0)),0)+D100,"")</f>
        <v>1.923565267886005E-2</v>
      </c>
      <c r="E101" s="11" t="str">
        <f>IF(AND($C101&lt;&gt;"",E$15&lt;&gt;""),IFERROR(INDEX(PriceChangeData!$C:$C,MATCH($C101&amp;E$15,PriceChangeData!$F:$F,0)),0)+E100,"")</f>
        <v/>
      </c>
      <c r="F101" s="11" t="str">
        <f>IF(AND($C101&lt;&gt;"",F$15&lt;&gt;""),IFERROR(INDEX(PriceChangeData!$C:$C,MATCH($C101&amp;F$15,PriceChangeData!$F:$F,0)),0)+F100,"")</f>
        <v/>
      </c>
      <c r="G101" s="11" t="str">
        <f>IF(AND($C101&lt;&gt;"",G$15&lt;&gt;""),IFERROR(INDEX(PriceChangeData!$C:$C,MATCH($C101&amp;G$15,PriceChangeData!$F:$F,0)),0)+G100,"")</f>
        <v/>
      </c>
      <c r="H101" s="19" t="str">
        <f>IF(AND($C101&lt;&gt;"",H$15&lt;&gt;""),IFERROR(INDEX(PriceChangeData!$C:$C,MATCH($C101&amp;H$15,PriceChangeData!$F:$F,0)),0)+H100,"")</f>
        <v/>
      </c>
    </row>
    <row r="102" spans="3:8" x14ac:dyDescent="0.25">
      <c r="C102" s="18">
        <f t="shared" si="3"/>
        <v>43287</v>
      </c>
      <c r="D102" s="10">
        <f>IF(AND($C102&lt;&gt;"",D$15&lt;&gt;""),IFERROR(INDEX(PriceChangeData!$C:$C,MATCH($C102&amp;D$15,PriceChangeData!$F:$F,0)),0)+D101,"")</f>
        <v>4.4733231362743917E-2</v>
      </c>
      <c r="E102" s="11" t="str">
        <f>IF(AND($C102&lt;&gt;"",E$15&lt;&gt;""),IFERROR(INDEX(PriceChangeData!$C:$C,MATCH($C102&amp;E$15,PriceChangeData!$F:$F,0)),0)+E101,"")</f>
        <v/>
      </c>
      <c r="F102" s="11" t="str">
        <f>IF(AND($C102&lt;&gt;"",F$15&lt;&gt;""),IFERROR(INDEX(PriceChangeData!$C:$C,MATCH($C102&amp;F$15,PriceChangeData!$F:$F,0)),0)+F101,"")</f>
        <v/>
      </c>
      <c r="G102" s="11" t="str">
        <f>IF(AND($C102&lt;&gt;"",G$15&lt;&gt;""),IFERROR(INDEX(PriceChangeData!$C:$C,MATCH($C102&amp;G$15,PriceChangeData!$F:$F,0)),0)+G101,"")</f>
        <v/>
      </c>
      <c r="H102" s="19" t="str">
        <f>IF(AND($C102&lt;&gt;"",H$15&lt;&gt;""),IFERROR(INDEX(PriceChangeData!$C:$C,MATCH($C102&amp;H$15,PriceChangeData!$F:$F,0)),0)+H101,"")</f>
        <v/>
      </c>
    </row>
    <row r="103" spans="3:8" x14ac:dyDescent="0.25">
      <c r="C103" s="18">
        <f t="shared" si="3"/>
        <v>43288</v>
      </c>
      <c r="D103" s="10">
        <f>IF(AND($C103&lt;&gt;"",D$15&lt;&gt;""),IFERROR(INDEX(PriceChangeData!$C:$C,MATCH($C103&amp;D$15,PriceChangeData!$F:$F,0)),0)+D102,"")</f>
        <v>4.4733231362743917E-2</v>
      </c>
      <c r="E103" s="11" t="str">
        <f>IF(AND($C103&lt;&gt;"",E$15&lt;&gt;""),IFERROR(INDEX(PriceChangeData!$C:$C,MATCH($C103&amp;E$15,PriceChangeData!$F:$F,0)),0)+E102,"")</f>
        <v/>
      </c>
      <c r="F103" s="11" t="str">
        <f>IF(AND($C103&lt;&gt;"",F$15&lt;&gt;""),IFERROR(INDEX(PriceChangeData!$C:$C,MATCH($C103&amp;F$15,PriceChangeData!$F:$F,0)),0)+F102,"")</f>
        <v/>
      </c>
      <c r="G103" s="11" t="str">
        <f>IF(AND($C103&lt;&gt;"",G$15&lt;&gt;""),IFERROR(INDEX(PriceChangeData!$C:$C,MATCH($C103&amp;G$15,PriceChangeData!$F:$F,0)),0)+G102,"")</f>
        <v/>
      </c>
      <c r="H103" s="19" t="str">
        <f>IF(AND($C103&lt;&gt;"",H$15&lt;&gt;""),IFERROR(INDEX(PriceChangeData!$C:$C,MATCH($C103&amp;H$15,PriceChangeData!$F:$F,0)),0)+H102,"")</f>
        <v/>
      </c>
    </row>
    <row r="104" spans="3:8" x14ac:dyDescent="0.25">
      <c r="C104" s="18">
        <f t="shared" si="3"/>
        <v>43289</v>
      </c>
      <c r="D104" s="10">
        <f>IF(AND($C104&lt;&gt;"",D$15&lt;&gt;""),IFERROR(INDEX(PriceChangeData!$C:$C,MATCH($C104&amp;D$15,PriceChangeData!$F:$F,0)),0)+D103,"")</f>
        <v>4.4733231362743917E-2</v>
      </c>
      <c r="E104" s="11" t="str">
        <f>IF(AND($C104&lt;&gt;"",E$15&lt;&gt;""),IFERROR(INDEX(PriceChangeData!$C:$C,MATCH($C104&amp;E$15,PriceChangeData!$F:$F,0)),0)+E103,"")</f>
        <v/>
      </c>
      <c r="F104" s="11" t="str">
        <f>IF(AND($C104&lt;&gt;"",F$15&lt;&gt;""),IFERROR(INDEX(PriceChangeData!$C:$C,MATCH($C104&amp;F$15,PriceChangeData!$F:$F,0)),0)+F103,"")</f>
        <v/>
      </c>
      <c r="G104" s="11" t="str">
        <f>IF(AND($C104&lt;&gt;"",G$15&lt;&gt;""),IFERROR(INDEX(PriceChangeData!$C:$C,MATCH($C104&amp;G$15,PriceChangeData!$F:$F,0)),0)+G103,"")</f>
        <v/>
      </c>
      <c r="H104" s="19" t="str">
        <f>IF(AND($C104&lt;&gt;"",H$15&lt;&gt;""),IFERROR(INDEX(PriceChangeData!$C:$C,MATCH($C104&amp;H$15,PriceChangeData!$F:$F,0)),0)+H103,"")</f>
        <v/>
      </c>
    </row>
    <row r="105" spans="3:8" x14ac:dyDescent="0.25">
      <c r="C105" s="18">
        <f t="shared" si="3"/>
        <v>43290</v>
      </c>
      <c r="D105" s="10">
        <f>IF(AND($C105&lt;&gt;"",D$15&lt;&gt;""),IFERROR(INDEX(PriceChangeData!$C:$C,MATCH($C105&amp;D$15,PriceChangeData!$F:$F,0)),0)+D104,"")</f>
        <v>4.5970540708816635E-2</v>
      </c>
      <c r="E105" s="11" t="str">
        <f>IF(AND($C105&lt;&gt;"",E$15&lt;&gt;""),IFERROR(INDEX(PriceChangeData!$C:$C,MATCH($C105&amp;E$15,PriceChangeData!$F:$F,0)),0)+E104,"")</f>
        <v/>
      </c>
      <c r="F105" s="11" t="str">
        <f>IF(AND($C105&lt;&gt;"",F$15&lt;&gt;""),IFERROR(INDEX(PriceChangeData!$C:$C,MATCH($C105&amp;F$15,PriceChangeData!$F:$F,0)),0)+F104,"")</f>
        <v/>
      </c>
      <c r="G105" s="11" t="str">
        <f>IF(AND($C105&lt;&gt;"",G$15&lt;&gt;""),IFERROR(INDEX(PriceChangeData!$C:$C,MATCH($C105&amp;G$15,PriceChangeData!$F:$F,0)),0)+G104,"")</f>
        <v/>
      </c>
      <c r="H105" s="19" t="str">
        <f>IF(AND($C105&lt;&gt;"",H$15&lt;&gt;""),IFERROR(INDEX(PriceChangeData!$C:$C,MATCH($C105&amp;H$15,PriceChangeData!$F:$F,0)),0)+H104,"")</f>
        <v/>
      </c>
    </row>
    <row r="106" spans="3:8" x14ac:dyDescent="0.25">
      <c r="C106" s="18">
        <f t="shared" si="3"/>
        <v>43291</v>
      </c>
      <c r="D106" s="10">
        <f>IF(AND($C106&lt;&gt;"",D$15&lt;&gt;""),IFERROR(INDEX(PriceChangeData!$C:$C,MATCH($C106&amp;D$15,PriceChangeData!$F:$F,0)),0)+D105,"")</f>
        <v>6.4349830035323727E-2</v>
      </c>
      <c r="E106" s="11" t="str">
        <f>IF(AND($C106&lt;&gt;"",E$15&lt;&gt;""),IFERROR(INDEX(PriceChangeData!$C:$C,MATCH($C106&amp;E$15,PriceChangeData!$F:$F,0)),0)+E105,"")</f>
        <v/>
      </c>
      <c r="F106" s="11" t="str">
        <f>IF(AND($C106&lt;&gt;"",F$15&lt;&gt;""),IFERROR(INDEX(PriceChangeData!$C:$C,MATCH($C106&amp;F$15,PriceChangeData!$F:$F,0)),0)+F105,"")</f>
        <v/>
      </c>
      <c r="G106" s="11" t="str">
        <f>IF(AND($C106&lt;&gt;"",G$15&lt;&gt;""),IFERROR(INDEX(PriceChangeData!$C:$C,MATCH($C106&amp;G$15,PriceChangeData!$F:$F,0)),0)+G105,"")</f>
        <v/>
      </c>
      <c r="H106" s="19" t="str">
        <f>IF(AND($C106&lt;&gt;"",H$15&lt;&gt;""),IFERROR(INDEX(PriceChangeData!$C:$C,MATCH($C106&amp;H$15,PriceChangeData!$F:$F,0)),0)+H105,"")</f>
        <v/>
      </c>
    </row>
    <row r="107" spans="3:8" x14ac:dyDescent="0.25">
      <c r="C107" s="18">
        <f t="shared" si="3"/>
        <v>43292</v>
      </c>
      <c r="D107" s="10">
        <f>IF(AND($C107&lt;&gt;"",D$15&lt;&gt;""),IFERROR(INDEX(PriceChangeData!$C:$C,MATCH($C107&amp;D$15,PriceChangeData!$F:$F,0)),0)+D106,"")</f>
        <v>2.4302987791507857E-2</v>
      </c>
      <c r="E107" s="11" t="str">
        <f>IF(AND($C107&lt;&gt;"",E$15&lt;&gt;""),IFERROR(INDEX(PriceChangeData!$C:$C,MATCH($C107&amp;E$15,PriceChangeData!$F:$F,0)),0)+E106,"")</f>
        <v/>
      </c>
      <c r="F107" s="11" t="str">
        <f>IF(AND($C107&lt;&gt;"",F$15&lt;&gt;""),IFERROR(INDEX(PriceChangeData!$C:$C,MATCH($C107&amp;F$15,PriceChangeData!$F:$F,0)),0)+F106,"")</f>
        <v/>
      </c>
      <c r="G107" s="11" t="str">
        <f>IF(AND($C107&lt;&gt;"",G$15&lt;&gt;""),IFERROR(INDEX(PriceChangeData!$C:$C,MATCH($C107&amp;G$15,PriceChangeData!$F:$F,0)),0)+G106,"")</f>
        <v/>
      </c>
      <c r="H107" s="19" t="str">
        <f>IF(AND($C107&lt;&gt;"",H$15&lt;&gt;""),IFERROR(INDEX(PriceChangeData!$C:$C,MATCH($C107&amp;H$15,PriceChangeData!$F:$F,0)),0)+H106,"")</f>
        <v/>
      </c>
    </row>
    <row r="108" spans="3:8" x14ac:dyDescent="0.25">
      <c r="C108" s="18">
        <f t="shared" si="3"/>
        <v>43293</v>
      </c>
      <c r="D108" s="10">
        <f>IF(AND($C108&lt;&gt;"",D$15&lt;&gt;""),IFERROR(INDEX(PriceChangeData!$C:$C,MATCH($C108&amp;D$15,PriceChangeData!$F:$F,0)),0)+D107,"")</f>
        <v>4.1286066356164094E-2</v>
      </c>
      <c r="E108" s="11" t="str">
        <f>IF(AND($C108&lt;&gt;"",E$15&lt;&gt;""),IFERROR(INDEX(PriceChangeData!$C:$C,MATCH($C108&amp;E$15,PriceChangeData!$F:$F,0)),0)+E107,"")</f>
        <v/>
      </c>
      <c r="F108" s="11" t="str">
        <f>IF(AND($C108&lt;&gt;"",F$15&lt;&gt;""),IFERROR(INDEX(PriceChangeData!$C:$C,MATCH($C108&amp;F$15,PriceChangeData!$F:$F,0)),0)+F107,"")</f>
        <v/>
      </c>
      <c r="G108" s="11" t="str">
        <f>IF(AND($C108&lt;&gt;"",G$15&lt;&gt;""),IFERROR(INDEX(PriceChangeData!$C:$C,MATCH($C108&amp;G$15,PriceChangeData!$F:$F,0)),0)+G107,"")</f>
        <v/>
      </c>
      <c r="H108" s="19" t="str">
        <f>IF(AND($C108&lt;&gt;"",H$15&lt;&gt;""),IFERROR(INDEX(PriceChangeData!$C:$C,MATCH($C108&amp;H$15,PriceChangeData!$F:$F,0)),0)+H107,"")</f>
        <v/>
      </c>
    </row>
    <row r="109" spans="3:8" x14ac:dyDescent="0.25">
      <c r="C109" s="18">
        <f t="shared" si="3"/>
        <v>43294</v>
      </c>
      <c r="D109" s="10">
        <f>IF(AND($C109&lt;&gt;"",D$15&lt;&gt;""),IFERROR(INDEX(PriceChangeData!$C:$C,MATCH($C109&amp;D$15,PriceChangeData!$F:$F,0)),0)+D108,"")</f>
        <v>5.1898148439038422E-2</v>
      </c>
      <c r="E109" s="11" t="str">
        <f>IF(AND($C109&lt;&gt;"",E$15&lt;&gt;""),IFERROR(INDEX(PriceChangeData!$C:$C,MATCH($C109&amp;E$15,PriceChangeData!$F:$F,0)),0)+E108,"")</f>
        <v/>
      </c>
      <c r="F109" s="11" t="str">
        <f>IF(AND($C109&lt;&gt;"",F$15&lt;&gt;""),IFERROR(INDEX(PriceChangeData!$C:$C,MATCH($C109&amp;F$15,PriceChangeData!$F:$F,0)),0)+F108,"")</f>
        <v/>
      </c>
      <c r="G109" s="11" t="str">
        <f>IF(AND($C109&lt;&gt;"",G$15&lt;&gt;""),IFERROR(INDEX(PriceChangeData!$C:$C,MATCH($C109&amp;G$15,PriceChangeData!$F:$F,0)),0)+G108,"")</f>
        <v/>
      </c>
      <c r="H109" s="19" t="str">
        <f>IF(AND($C109&lt;&gt;"",H$15&lt;&gt;""),IFERROR(INDEX(PriceChangeData!$C:$C,MATCH($C109&amp;H$15,PriceChangeData!$F:$F,0)),0)+H108,"")</f>
        <v/>
      </c>
    </row>
    <row r="110" spans="3:8" x14ac:dyDescent="0.25">
      <c r="C110" s="18">
        <f t="shared" si="3"/>
        <v>43295</v>
      </c>
      <c r="D110" s="10">
        <f>IF(AND($C110&lt;&gt;"",D$15&lt;&gt;""),IFERROR(INDEX(PriceChangeData!$C:$C,MATCH($C110&amp;D$15,PriceChangeData!$F:$F,0)),0)+D109,"")</f>
        <v>5.1898148439038422E-2</v>
      </c>
      <c r="E110" s="11" t="str">
        <f>IF(AND($C110&lt;&gt;"",E$15&lt;&gt;""),IFERROR(INDEX(PriceChangeData!$C:$C,MATCH($C110&amp;E$15,PriceChangeData!$F:$F,0)),0)+E109,"")</f>
        <v/>
      </c>
      <c r="F110" s="11" t="str">
        <f>IF(AND($C110&lt;&gt;"",F$15&lt;&gt;""),IFERROR(INDEX(PriceChangeData!$C:$C,MATCH($C110&amp;F$15,PriceChangeData!$F:$F,0)),0)+F109,"")</f>
        <v/>
      </c>
      <c r="G110" s="11" t="str">
        <f>IF(AND($C110&lt;&gt;"",G$15&lt;&gt;""),IFERROR(INDEX(PriceChangeData!$C:$C,MATCH($C110&amp;G$15,PriceChangeData!$F:$F,0)),0)+G109,"")</f>
        <v/>
      </c>
      <c r="H110" s="19" t="str">
        <f>IF(AND($C110&lt;&gt;"",H$15&lt;&gt;""),IFERROR(INDEX(PriceChangeData!$C:$C,MATCH($C110&amp;H$15,PriceChangeData!$F:$F,0)),0)+H109,"")</f>
        <v/>
      </c>
    </row>
    <row r="111" spans="3:8" x14ac:dyDescent="0.25">
      <c r="C111" s="18">
        <f t="shared" si="3"/>
        <v>43296</v>
      </c>
      <c r="D111" s="10">
        <f>IF(AND($C111&lt;&gt;"",D$15&lt;&gt;""),IFERROR(INDEX(PriceChangeData!$C:$C,MATCH($C111&amp;D$15,PriceChangeData!$F:$F,0)),0)+D110,"")</f>
        <v>5.1898148439038422E-2</v>
      </c>
      <c r="E111" s="11" t="str">
        <f>IF(AND($C111&lt;&gt;"",E$15&lt;&gt;""),IFERROR(INDEX(PriceChangeData!$C:$C,MATCH($C111&amp;E$15,PriceChangeData!$F:$F,0)),0)+E110,"")</f>
        <v/>
      </c>
      <c r="F111" s="11" t="str">
        <f>IF(AND($C111&lt;&gt;"",F$15&lt;&gt;""),IFERROR(INDEX(PriceChangeData!$C:$C,MATCH($C111&amp;F$15,PriceChangeData!$F:$F,0)),0)+F110,"")</f>
        <v/>
      </c>
      <c r="G111" s="11" t="str">
        <f>IF(AND($C111&lt;&gt;"",G$15&lt;&gt;""),IFERROR(INDEX(PriceChangeData!$C:$C,MATCH($C111&amp;G$15,PriceChangeData!$F:$F,0)),0)+G110,"")</f>
        <v/>
      </c>
      <c r="H111" s="19" t="str">
        <f>IF(AND($C111&lt;&gt;"",H$15&lt;&gt;""),IFERROR(INDEX(PriceChangeData!$C:$C,MATCH($C111&amp;H$15,PriceChangeData!$F:$F,0)),0)+H110,"")</f>
        <v/>
      </c>
    </row>
    <row r="112" spans="3:8" x14ac:dyDescent="0.25">
      <c r="C112" s="18">
        <f t="shared" si="3"/>
        <v>43297</v>
      </c>
      <c r="D112" s="10">
        <f>IF(AND($C112&lt;&gt;"",D$15&lt;&gt;""),IFERROR(INDEX(PriceChangeData!$C:$C,MATCH($C112&amp;D$15,PriceChangeData!$F:$F,0)),0)+D111,"")</f>
        <v>4.7958111601075465E-2</v>
      </c>
      <c r="E112" s="11" t="str">
        <f>IF(AND($C112&lt;&gt;"",E$15&lt;&gt;""),IFERROR(INDEX(PriceChangeData!$C:$C,MATCH($C112&amp;E$15,PriceChangeData!$F:$F,0)),0)+E111,"")</f>
        <v/>
      </c>
      <c r="F112" s="11" t="str">
        <f>IF(AND($C112&lt;&gt;"",F$15&lt;&gt;""),IFERROR(INDEX(PriceChangeData!$C:$C,MATCH($C112&amp;F$15,PriceChangeData!$F:$F,0)),0)+F111,"")</f>
        <v/>
      </c>
      <c r="G112" s="11" t="str">
        <f>IF(AND($C112&lt;&gt;"",G$15&lt;&gt;""),IFERROR(INDEX(PriceChangeData!$C:$C,MATCH($C112&amp;G$15,PriceChangeData!$F:$F,0)),0)+G111,"")</f>
        <v/>
      </c>
      <c r="H112" s="19" t="str">
        <f>IF(AND($C112&lt;&gt;"",H$15&lt;&gt;""),IFERROR(INDEX(PriceChangeData!$C:$C,MATCH($C112&amp;H$15,PriceChangeData!$F:$F,0)),0)+H111,"")</f>
        <v/>
      </c>
    </row>
    <row r="113" spans="3:8" x14ac:dyDescent="0.25">
      <c r="C113" s="18">
        <f t="shared" si="3"/>
        <v>43298</v>
      </c>
      <c r="D113" s="10">
        <f>IF(AND($C113&lt;&gt;"",D$15&lt;&gt;""),IFERROR(INDEX(PriceChangeData!$C:$C,MATCH($C113&amp;D$15,PriceChangeData!$F:$F,0)),0)+D112,"")</f>
        <v>3.9191889809665363E-2</v>
      </c>
      <c r="E113" s="11" t="str">
        <f>IF(AND($C113&lt;&gt;"",E$15&lt;&gt;""),IFERROR(INDEX(PriceChangeData!$C:$C,MATCH($C113&amp;E$15,PriceChangeData!$F:$F,0)),0)+E112,"")</f>
        <v/>
      </c>
      <c r="F113" s="11" t="str">
        <f>IF(AND($C113&lt;&gt;"",F$15&lt;&gt;""),IFERROR(INDEX(PriceChangeData!$C:$C,MATCH($C113&amp;F$15,PriceChangeData!$F:$F,0)),0)+F112,"")</f>
        <v/>
      </c>
      <c r="G113" s="11" t="str">
        <f>IF(AND($C113&lt;&gt;"",G$15&lt;&gt;""),IFERROR(INDEX(PriceChangeData!$C:$C,MATCH($C113&amp;G$15,PriceChangeData!$F:$F,0)),0)+G112,"")</f>
        <v/>
      </c>
      <c r="H113" s="19" t="str">
        <f>IF(AND($C113&lt;&gt;"",H$15&lt;&gt;""),IFERROR(INDEX(PriceChangeData!$C:$C,MATCH($C113&amp;H$15,PriceChangeData!$F:$F,0)),0)+H112,"")</f>
        <v/>
      </c>
    </row>
    <row r="114" spans="3:8" x14ac:dyDescent="0.25">
      <c r="C114" s="18">
        <f t="shared" si="3"/>
        <v>43299</v>
      </c>
      <c r="D114" s="10">
        <f>IF(AND($C114&lt;&gt;"",D$15&lt;&gt;""),IFERROR(INDEX(PriceChangeData!$C:$C,MATCH($C114&amp;D$15,PriceChangeData!$F:$F,0)),0)+D113,"")</f>
        <v>2.8549592278958931E-2</v>
      </c>
      <c r="E114" s="11" t="str">
        <f>IF(AND($C114&lt;&gt;"",E$15&lt;&gt;""),IFERROR(INDEX(PriceChangeData!$C:$C,MATCH($C114&amp;E$15,PriceChangeData!$F:$F,0)),0)+E113,"")</f>
        <v/>
      </c>
      <c r="F114" s="11" t="str">
        <f>IF(AND($C114&lt;&gt;"",F$15&lt;&gt;""),IFERROR(INDEX(PriceChangeData!$C:$C,MATCH($C114&amp;F$15,PriceChangeData!$F:$F,0)),0)+F113,"")</f>
        <v/>
      </c>
      <c r="G114" s="11" t="str">
        <f>IF(AND($C114&lt;&gt;"",G$15&lt;&gt;""),IFERROR(INDEX(PriceChangeData!$C:$C,MATCH($C114&amp;G$15,PriceChangeData!$F:$F,0)),0)+G113,"")</f>
        <v/>
      </c>
      <c r="H114" s="19" t="str">
        <f>IF(AND($C114&lt;&gt;"",H$15&lt;&gt;""),IFERROR(INDEX(PriceChangeData!$C:$C,MATCH($C114&amp;H$15,PriceChangeData!$F:$F,0)),0)+H113,"")</f>
        <v/>
      </c>
    </row>
    <row r="115" spans="3:8" x14ac:dyDescent="0.25">
      <c r="C115" s="18">
        <f t="shared" si="3"/>
        <v>43300</v>
      </c>
      <c r="D115" s="10">
        <f>IF(AND($C115&lt;&gt;"",D$15&lt;&gt;""),IFERROR(INDEX(PriceChangeData!$C:$C,MATCH($C115&amp;D$15,PriceChangeData!$F:$F,0)),0)+D114,"")</f>
        <v>-1.9736901170275996E-2</v>
      </c>
      <c r="E115" s="11" t="str">
        <f>IF(AND($C115&lt;&gt;"",E$15&lt;&gt;""),IFERROR(INDEX(PriceChangeData!$C:$C,MATCH($C115&amp;E$15,PriceChangeData!$F:$F,0)),0)+E114,"")</f>
        <v/>
      </c>
      <c r="F115" s="11" t="str">
        <f>IF(AND($C115&lt;&gt;"",F$15&lt;&gt;""),IFERROR(INDEX(PriceChangeData!$C:$C,MATCH($C115&amp;F$15,PriceChangeData!$F:$F,0)),0)+F114,"")</f>
        <v/>
      </c>
      <c r="G115" s="11" t="str">
        <f>IF(AND($C115&lt;&gt;"",G$15&lt;&gt;""),IFERROR(INDEX(PriceChangeData!$C:$C,MATCH($C115&amp;G$15,PriceChangeData!$F:$F,0)),0)+G114,"")</f>
        <v/>
      </c>
      <c r="H115" s="19" t="str">
        <f>IF(AND($C115&lt;&gt;"",H$15&lt;&gt;""),IFERROR(INDEX(PriceChangeData!$C:$C,MATCH($C115&amp;H$15,PriceChangeData!$F:$F,0)),0)+H114,"")</f>
        <v/>
      </c>
    </row>
    <row r="116" spans="3:8" x14ac:dyDescent="0.25">
      <c r="C116" s="18">
        <f t="shared" si="3"/>
        <v>43301</v>
      </c>
      <c r="D116" s="10">
        <f>IF(AND($C116&lt;&gt;"",D$15&lt;&gt;""),IFERROR(INDEX(PriceChangeData!$C:$C,MATCH($C116&amp;D$15,PriceChangeData!$F:$F,0)),0)+D115,"")</f>
        <v>-3.13670942442726E-2</v>
      </c>
      <c r="E116" s="11" t="str">
        <f>IF(AND($C116&lt;&gt;"",E$15&lt;&gt;""),IFERROR(INDEX(PriceChangeData!$C:$C,MATCH($C116&amp;E$15,PriceChangeData!$F:$F,0)),0)+E115,"")</f>
        <v/>
      </c>
      <c r="F116" s="11" t="str">
        <f>IF(AND($C116&lt;&gt;"",F$15&lt;&gt;""),IFERROR(INDEX(PriceChangeData!$C:$C,MATCH($C116&amp;F$15,PriceChangeData!$F:$F,0)),0)+F115,"")</f>
        <v/>
      </c>
      <c r="G116" s="11" t="str">
        <f>IF(AND($C116&lt;&gt;"",G$15&lt;&gt;""),IFERROR(INDEX(PriceChangeData!$C:$C,MATCH($C116&amp;G$15,PriceChangeData!$F:$F,0)),0)+G115,"")</f>
        <v/>
      </c>
      <c r="H116" s="19" t="str">
        <f>IF(AND($C116&lt;&gt;"",H$15&lt;&gt;""),IFERROR(INDEX(PriceChangeData!$C:$C,MATCH($C116&amp;H$15,PriceChangeData!$F:$F,0)),0)+H115,"")</f>
        <v/>
      </c>
    </row>
    <row r="117" spans="3:8" x14ac:dyDescent="0.25">
      <c r="C117" s="18">
        <f t="shared" si="3"/>
        <v>43302</v>
      </c>
      <c r="D117" s="10">
        <f>IF(AND($C117&lt;&gt;"",D$15&lt;&gt;""),IFERROR(INDEX(PriceChangeData!$C:$C,MATCH($C117&amp;D$15,PriceChangeData!$F:$F,0)),0)+D116,"")</f>
        <v>-3.13670942442726E-2</v>
      </c>
      <c r="E117" s="11" t="str">
        <f>IF(AND($C117&lt;&gt;"",E$15&lt;&gt;""),IFERROR(INDEX(PriceChangeData!$C:$C,MATCH($C117&amp;E$15,PriceChangeData!$F:$F,0)),0)+E116,"")</f>
        <v/>
      </c>
      <c r="F117" s="11" t="str">
        <f>IF(AND($C117&lt;&gt;"",F$15&lt;&gt;""),IFERROR(INDEX(PriceChangeData!$C:$C,MATCH($C117&amp;F$15,PriceChangeData!$F:$F,0)),0)+F116,"")</f>
        <v/>
      </c>
      <c r="G117" s="11" t="str">
        <f>IF(AND($C117&lt;&gt;"",G$15&lt;&gt;""),IFERROR(INDEX(PriceChangeData!$C:$C,MATCH($C117&amp;G$15,PriceChangeData!$F:$F,0)),0)+G116,"")</f>
        <v/>
      </c>
      <c r="H117" s="19" t="str">
        <f>IF(AND($C117&lt;&gt;"",H$15&lt;&gt;""),IFERROR(INDEX(PriceChangeData!$C:$C,MATCH($C117&amp;H$15,PriceChangeData!$F:$F,0)),0)+H116,"")</f>
        <v/>
      </c>
    </row>
    <row r="118" spans="3:8" x14ac:dyDescent="0.25">
      <c r="C118" s="18">
        <f t="shared" si="3"/>
        <v>43303</v>
      </c>
      <c r="D118" s="10">
        <f>IF(AND($C118&lt;&gt;"",D$15&lt;&gt;""),IFERROR(INDEX(PriceChangeData!$C:$C,MATCH($C118&amp;D$15,PriceChangeData!$F:$F,0)),0)+D117,"")</f>
        <v>-3.13670942442726E-2</v>
      </c>
      <c r="E118" s="11" t="str">
        <f>IF(AND($C118&lt;&gt;"",E$15&lt;&gt;""),IFERROR(INDEX(PriceChangeData!$C:$C,MATCH($C118&amp;E$15,PriceChangeData!$F:$F,0)),0)+E117,"")</f>
        <v/>
      </c>
      <c r="F118" s="11" t="str">
        <f>IF(AND($C118&lt;&gt;"",F$15&lt;&gt;""),IFERROR(INDEX(PriceChangeData!$C:$C,MATCH($C118&amp;F$15,PriceChangeData!$F:$F,0)),0)+F117,"")</f>
        <v/>
      </c>
      <c r="G118" s="11" t="str">
        <f>IF(AND($C118&lt;&gt;"",G$15&lt;&gt;""),IFERROR(INDEX(PriceChangeData!$C:$C,MATCH($C118&amp;G$15,PriceChangeData!$F:$F,0)),0)+G117,"")</f>
        <v/>
      </c>
      <c r="H118" s="19" t="str">
        <f>IF(AND($C118&lt;&gt;"",H$15&lt;&gt;""),IFERROR(INDEX(PriceChangeData!$C:$C,MATCH($C118&amp;H$15,PriceChangeData!$F:$F,0)),0)+H117,"")</f>
        <v/>
      </c>
    </row>
    <row r="119" spans="3:8" x14ac:dyDescent="0.25">
      <c r="C119" s="18">
        <f t="shared" si="3"/>
        <v>43304</v>
      </c>
      <c r="D119" s="10">
        <f>IF(AND($C119&lt;&gt;"",D$15&lt;&gt;""),IFERROR(INDEX(PriceChangeData!$C:$C,MATCH($C119&amp;D$15,PriceChangeData!$F:$F,0)),0)+D118,"")</f>
        <v>-2.5870342872927617E-2</v>
      </c>
      <c r="E119" s="11" t="str">
        <f>IF(AND($C119&lt;&gt;"",E$15&lt;&gt;""),IFERROR(INDEX(PriceChangeData!$C:$C,MATCH($C119&amp;E$15,PriceChangeData!$F:$F,0)),0)+E118,"")</f>
        <v/>
      </c>
      <c r="F119" s="11" t="str">
        <f>IF(AND($C119&lt;&gt;"",F$15&lt;&gt;""),IFERROR(INDEX(PriceChangeData!$C:$C,MATCH($C119&amp;F$15,PriceChangeData!$F:$F,0)),0)+F118,"")</f>
        <v/>
      </c>
      <c r="G119" s="11" t="str">
        <f>IF(AND($C119&lt;&gt;"",G$15&lt;&gt;""),IFERROR(INDEX(PriceChangeData!$C:$C,MATCH($C119&amp;G$15,PriceChangeData!$F:$F,0)),0)+G118,"")</f>
        <v/>
      </c>
      <c r="H119" s="19" t="str">
        <f>IF(AND($C119&lt;&gt;"",H$15&lt;&gt;""),IFERROR(INDEX(PriceChangeData!$C:$C,MATCH($C119&amp;H$15,PriceChangeData!$F:$F,0)),0)+H118,"")</f>
        <v/>
      </c>
    </row>
    <row r="120" spans="3:8" x14ac:dyDescent="0.25">
      <c r="C120" s="18">
        <f t="shared" si="3"/>
        <v>43305</v>
      </c>
      <c r="D120" s="10">
        <f>IF(AND($C120&lt;&gt;"",D$15&lt;&gt;""),IFERROR(INDEX(PriceChangeData!$C:$C,MATCH($C120&amp;D$15,PriceChangeData!$F:$F,0)),0)+D119,"")</f>
        <v>-2.2149540722410828E-3</v>
      </c>
      <c r="E120" s="11" t="str">
        <f>IF(AND($C120&lt;&gt;"",E$15&lt;&gt;""),IFERROR(INDEX(PriceChangeData!$C:$C,MATCH($C120&amp;E$15,PriceChangeData!$F:$F,0)),0)+E119,"")</f>
        <v/>
      </c>
      <c r="F120" s="11" t="str">
        <f>IF(AND($C120&lt;&gt;"",F$15&lt;&gt;""),IFERROR(INDEX(PriceChangeData!$C:$C,MATCH($C120&amp;F$15,PriceChangeData!$F:$F,0)),0)+F119,"")</f>
        <v/>
      </c>
      <c r="G120" s="11" t="str">
        <f>IF(AND($C120&lt;&gt;"",G$15&lt;&gt;""),IFERROR(INDEX(PriceChangeData!$C:$C,MATCH($C120&amp;G$15,PriceChangeData!$F:$F,0)),0)+G119,"")</f>
        <v/>
      </c>
      <c r="H120" s="19" t="str">
        <f>IF(AND($C120&lt;&gt;"",H$15&lt;&gt;""),IFERROR(INDEX(PriceChangeData!$C:$C,MATCH($C120&amp;H$15,PriceChangeData!$F:$F,0)),0)+H119,"")</f>
        <v/>
      </c>
    </row>
    <row r="121" spans="3:8" x14ac:dyDescent="0.25">
      <c r="C121" s="18">
        <f t="shared" si="3"/>
        <v>43306</v>
      </c>
      <c r="D121" s="10">
        <f>IF(AND($C121&lt;&gt;"",D$15&lt;&gt;""),IFERROR(INDEX(PriceChangeData!$C:$C,MATCH($C121&amp;D$15,PriceChangeData!$F:$F,0)),0)+D120,"")</f>
        <v>1.4897588770632499E-2</v>
      </c>
      <c r="E121" s="11" t="str">
        <f>IF(AND($C121&lt;&gt;"",E$15&lt;&gt;""),IFERROR(INDEX(PriceChangeData!$C:$C,MATCH($C121&amp;E$15,PriceChangeData!$F:$F,0)),0)+E120,"")</f>
        <v/>
      </c>
      <c r="F121" s="11" t="str">
        <f>IF(AND($C121&lt;&gt;"",F$15&lt;&gt;""),IFERROR(INDEX(PriceChangeData!$C:$C,MATCH($C121&amp;F$15,PriceChangeData!$F:$F,0)),0)+F120,"")</f>
        <v/>
      </c>
      <c r="G121" s="11" t="str">
        <f>IF(AND($C121&lt;&gt;"",G$15&lt;&gt;""),IFERROR(INDEX(PriceChangeData!$C:$C,MATCH($C121&amp;G$15,PriceChangeData!$F:$F,0)),0)+G120,"")</f>
        <v/>
      </c>
      <c r="H121" s="19" t="str">
        <f>IF(AND($C121&lt;&gt;"",H$15&lt;&gt;""),IFERROR(INDEX(PriceChangeData!$C:$C,MATCH($C121&amp;H$15,PriceChangeData!$F:$F,0)),0)+H120,"")</f>
        <v/>
      </c>
    </row>
    <row r="122" spans="3:8" x14ac:dyDescent="0.25">
      <c r="C122" s="18">
        <f t="shared" si="3"/>
        <v>43307</v>
      </c>
      <c r="D122" s="10">
        <f>IF(AND($C122&lt;&gt;"",D$15&lt;&gt;""),IFERROR(INDEX(PriceChangeData!$C:$C,MATCH($C122&amp;D$15,PriceChangeData!$F:$F,0)),0)+D121,"")</f>
        <v>2.3664983395290141E-2</v>
      </c>
      <c r="E122" s="11" t="str">
        <f>IF(AND($C122&lt;&gt;"",E$15&lt;&gt;""),IFERROR(INDEX(PriceChangeData!$C:$C,MATCH($C122&amp;E$15,PriceChangeData!$F:$F,0)),0)+E121,"")</f>
        <v/>
      </c>
      <c r="F122" s="11" t="str">
        <f>IF(AND($C122&lt;&gt;"",F$15&lt;&gt;""),IFERROR(INDEX(PriceChangeData!$C:$C,MATCH($C122&amp;F$15,PriceChangeData!$F:$F,0)),0)+F121,"")</f>
        <v/>
      </c>
      <c r="G122" s="11" t="str">
        <f>IF(AND($C122&lt;&gt;"",G$15&lt;&gt;""),IFERROR(INDEX(PriceChangeData!$C:$C,MATCH($C122&amp;G$15,PriceChangeData!$F:$F,0)),0)+G121,"")</f>
        <v/>
      </c>
      <c r="H122" s="19" t="str">
        <f>IF(AND($C122&lt;&gt;"",H$15&lt;&gt;""),IFERROR(INDEX(PriceChangeData!$C:$C,MATCH($C122&amp;H$15,PriceChangeData!$F:$F,0)),0)+H121,"")</f>
        <v/>
      </c>
    </row>
    <row r="123" spans="3:8" x14ac:dyDescent="0.25">
      <c r="C123" s="18">
        <f t="shared" si="3"/>
        <v>43308</v>
      </c>
      <c r="D123" s="10">
        <f>IF(AND($C123&lt;&gt;"",D$15&lt;&gt;""),IFERROR(INDEX(PriceChangeData!$C:$C,MATCH($C123&amp;D$15,PriceChangeData!$F:$F,0)),0)+D122,"")</f>
        <v>-1.2978602173192404E-2</v>
      </c>
      <c r="E123" s="11" t="str">
        <f>IF(AND($C123&lt;&gt;"",E$15&lt;&gt;""),IFERROR(INDEX(PriceChangeData!$C:$C,MATCH($C123&amp;E$15,PriceChangeData!$F:$F,0)),0)+E122,"")</f>
        <v/>
      </c>
      <c r="F123" s="11" t="str">
        <f>IF(AND($C123&lt;&gt;"",F$15&lt;&gt;""),IFERROR(INDEX(PriceChangeData!$C:$C,MATCH($C123&amp;F$15,PriceChangeData!$F:$F,0)),0)+F122,"")</f>
        <v/>
      </c>
      <c r="G123" s="11" t="str">
        <f>IF(AND($C123&lt;&gt;"",G$15&lt;&gt;""),IFERROR(INDEX(PriceChangeData!$C:$C,MATCH($C123&amp;G$15,PriceChangeData!$F:$F,0)),0)+G122,"")</f>
        <v/>
      </c>
      <c r="H123" s="19" t="str">
        <f>IF(AND($C123&lt;&gt;"",H$15&lt;&gt;""),IFERROR(INDEX(PriceChangeData!$C:$C,MATCH($C123&amp;H$15,PriceChangeData!$F:$F,0)),0)+H122,"")</f>
        <v/>
      </c>
    </row>
    <row r="124" spans="3:8" x14ac:dyDescent="0.25">
      <c r="C124" s="18">
        <f t="shared" si="3"/>
        <v>43309</v>
      </c>
      <c r="D124" s="10">
        <f>IF(AND($C124&lt;&gt;"",D$15&lt;&gt;""),IFERROR(INDEX(PriceChangeData!$C:$C,MATCH($C124&amp;D$15,PriceChangeData!$F:$F,0)),0)+D123,"")</f>
        <v>-1.2978602173192404E-2</v>
      </c>
      <c r="E124" s="11" t="str">
        <f>IF(AND($C124&lt;&gt;"",E$15&lt;&gt;""),IFERROR(INDEX(PriceChangeData!$C:$C,MATCH($C124&amp;E$15,PriceChangeData!$F:$F,0)),0)+E123,"")</f>
        <v/>
      </c>
      <c r="F124" s="11" t="str">
        <f>IF(AND($C124&lt;&gt;"",F$15&lt;&gt;""),IFERROR(INDEX(PriceChangeData!$C:$C,MATCH($C124&amp;F$15,PriceChangeData!$F:$F,0)),0)+F123,"")</f>
        <v/>
      </c>
      <c r="G124" s="11" t="str">
        <f>IF(AND($C124&lt;&gt;"",G$15&lt;&gt;""),IFERROR(INDEX(PriceChangeData!$C:$C,MATCH($C124&amp;G$15,PriceChangeData!$F:$F,0)),0)+G123,"")</f>
        <v/>
      </c>
      <c r="H124" s="19" t="str">
        <f>IF(AND($C124&lt;&gt;"",H$15&lt;&gt;""),IFERROR(INDEX(PriceChangeData!$C:$C,MATCH($C124&amp;H$15,PriceChangeData!$F:$F,0)),0)+H123,"")</f>
        <v/>
      </c>
    </row>
    <row r="125" spans="3:8" x14ac:dyDescent="0.25">
      <c r="C125" s="18">
        <f t="shared" si="3"/>
        <v>43310</v>
      </c>
      <c r="D125" s="10">
        <f>IF(AND($C125&lt;&gt;"",D$15&lt;&gt;""),IFERROR(INDEX(PriceChangeData!$C:$C,MATCH($C125&amp;D$15,PriceChangeData!$F:$F,0)),0)+D124,"")</f>
        <v>-1.2978602173192404E-2</v>
      </c>
      <c r="E125" s="11" t="str">
        <f>IF(AND($C125&lt;&gt;"",E$15&lt;&gt;""),IFERROR(INDEX(PriceChangeData!$C:$C,MATCH($C125&amp;E$15,PriceChangeData!$F:$F,0)),0)+E124,"")</f>
        <v/>
      </c>
      <c r="F125" s="11" t="str">
        <f>IF(AND($C125&lt;&gt;"",F$15&lt;&gt;""),IFERROR(INDEX(PriceChangeData!$C:$C,MATCH($C125&amp;F$15,PriceChangeData!$F:$F,0)),0)+F124,"")</f>
        <v/>
      </c>
      <c r="G125" s="11" t="str">
        <f>IF(AND($C125&lt;&gt;"",G$15&lt;&gt;""),IFERROR(INDEX(PriceChangeData!$C:$C,MATCH($C125&amp;G$15,PriceChangeData!$F:$F,0)),0)+G124,"")</f>
        <v/>
      </c>
      <c r="H125" s="19" t="str">
        <f>IF(AND($C125&lt;&gt;"",H$15&lt;&gt;""),IFERROR(INDEX(PriceChangeData!$C:$C,MATCH($C125&amp;H$15,PriceChangeData!$F:$F,0)),0)+H124,"")</f>
        <v/>
      </c>
    </row>
    <row r="126" spans="3:8" x14ac:dyDescent="0.25">
      <c r="C126" s="18">
        <f t="shared" si="3"/>
        <v>43311</v>
      </c>
      <c r="D126" s="10">
        <f>IF(AND($C126&lt;&gt;"",D$15&lt;&gt;""),IFERROR(INDEX(PriceChangeData!$C:$C,MATCH($C126&amp;D$15,PriceChangeData!$F:$F,0)),0)+D125,"")</f>
        <v>-3.1989661923700497E-3</v>
      </c>
      <c r="E126" s="11" t="str">
        <f>IF(AND($C126&lt;&gt;"",E$15&lt;&gt;""),IFERROR(INDEX(PriceChangeData!$C:$C,MATCH($C126&amp;E$15,PriceChangeData!$F:$F,0)),0)+E125,"")</f>
        <v/>
      </c>
      <c r="F126" s="11" t="str">
        <f>IF(AND($C126&lt;&gt;"",F$15&lt;&gt;""),IFERROR(INDEX(PriceChangeData!$C:$C,MATCH($C126&amp;F$15,PriceChangeData!$F:$F,0)),0)+F125,"")</f>
        <v/>
      </c>
      <c r="G126" s="11" t="str">
        <f>IF(AND($C126&lt;&gt;"",G$15&lt;&gt;""),IFERROR(INDEX(PriceChangeData!$C:$C,MATCH($C126&amp;G$15,PriceChangeData!$F:$F,0)),0)+G125,"")</f>
        <v/>
      </c>
      <c r="H126" s="19" t="str">
        <f>IF(AND($C126&lt;&gt;"",H$15&lt;&gt;""),IFERROR(INDEX(PriceChangeData!$C:$C,MATCH($C126&amp;H$15,PriceChangeData!$F:$F,0)),0)+H125,"")</f>
        <v/>
      </c>
    </row>
    <row r="127" spans="3:8" x14ac:dyDescent="0.25">
      <c r="C127" s="18">
        <f t="shared" si="3"/>
        <v>43312</v>
      </c>
      <c r="D127" s="10">
        <f>IF(AND($C127&lt;&gt;"",D$15&lt;&gt;""),IFERROR(INDEX(PriceChangeData!$C:$C,MATCH($C127&amp;D$15,PriceChangeData!$F:$F,0)),0)+D126,"")</f>
        <v>5.2941836609412523E-3</v>
      </c>
      <c r="E127" s="11" t="str">
        <f>IF(AND($C127&lt;&gt;"",E$15&lt;&gt;""),IFERROR(INDEX(PriceChangeData!$C:$C,MATCH($C127&amp;E$15,PriceChangeData!$F:$F,0)),0)+E126,"")</f>
        <v/>
      </c>
      <c r="F127" s="11" t="str">
        <f>IF(AND($C127&lt;&gt;"",F$15&lt;&gt;""),IFERROR(INDEX(PriceChangeData!$C:$C,MATCH($C127&amp;F$15,PriceChangeData!$F:$F,0)),0)+F126,"")</f>
        <v/>
      </c>
      <c r="G127" s="11" t="str">
        <f>IF(AND($C127&lt;&gt;"",G$15&lt;&gt;""),IFERROR(INDEX(PriceChangeData!$C:$C,MATCH($C127&amp;G$15,PriceChangeData!$F:$F,0)),0)+G126,"")</f>
        <v/>
      </c>
      <c r="H127" s="19" t="str">
        <f>IF(AND($C127&lt;&gt;"",H$15&lt;&gt;""),IFERROR(INDEX(PriceChangeData!$C:$C,MATCH($C127&amp;H$15,PriceChangeData!$F:$F,0)),0)+H126,"")</f>
        <v/>
      </c>
    </row>
    <row r="128" spans="3:8" x14ac:dyDescent="0.25">
      <c r="C128" s="18">
        <f t="shared" si="3"/>
        <v>43313</v>
      </c>
      <c r="D128" s="10">
        <f>IF(AND($C128&lt;&gt;"",D$15&lt;&gt;""),IFERROR(INDEX(PriceChangeData!$C:$C,MATCH($C128&amp;D$15,PriceChangeData!$F:$F,0)),0)+D127,"")</f>
        <v>2.3345828488624445E-2</v>
      </c>
      <c r="E128" s="11" t="str">
        <f>IF(AND($C128&lt;&gt;"",E$15&lt;&gt;""),IFERROR(INDEX(PriceChangeData!$C:$C,MATCH($C128&amp;E$15,PriceChangeData!$F:$F,0)),0)+E127,"")</f>
        <v/>
      </c>
      <c r="F128" s="11" t="str">
        <f>IF(AND($C128&lt;&gt;"",F$15&lt;&gt;""),IFERROR(INDEX(PriceChangeData!$C:$C,MATCH($C128&amp;F$15,PriceChangeData!$F:$F,0)),0)+F127,"")</f>
        <v/>
      </c>
      <c r="G128" s="11" t="str">
        <f>IF(AND($C128&lt;&gt;"",G$15&lt;&gt;""),IFERROR(INDEX(PriceChangeData!$C:$C,MATCH($C128&amp;G$15,PriceChangeData!$F:$F,0)),0)+G127,"")</f>
        <v/>
      </c>
      <c r="H128" s="19" t="str">
        <f>IF(AND($C128&lt;&gt;"",H$15&lt;&gt;""),IFERROR(INDEX(PriceChangeData!$C:$C,MATCH($C128&amp;H$15,PriceChangeData!$F:$F,0)),0)+H127,"")</f>
        <v/>
      </c>
    </row>
    <row r="129" spans="3:8" x14ac:dyDescent="0.25">
      <c r="C129" s="18">
        <f t="shared" si="3"/>
        <v>43314</v>
      </c>
      <c r="D129" s="10">
        <f>IF(AND($C129&lt;&gt;"",D$15&lt;&gt;""),IFERROR(INDEX(PriceChangeData!$C:$C,MATCH($C129&amp;D$15,PriceChangeData!$F:$F,0)),0)+D128,"")</f>
        <v>3.6148329353934035E-2</v>
      </c>
      <c r="E129" s="11" t="str">
        <f>IF(AND($C129&lt;&gt;"",E$15&lt;&gt;""),IFERROR(INDEX(PriceChangeData!$C:$C,MATCH($C129&amp;E$15,PriceChangeData!$F:$F,0)),0)+E128,"")</f>
        <v/>
      </c>
      <c r="F129" s="11" t="str">
        <f>IF(AND($C129&lt;&gt;"",F$15&lt;&gt;""),IFERROR(INDEX(PriceChangeData!$C:$C,MATCH($C129&amp;F$15,PriceChangeData!$F:$F,0)),0)+F128,"")</f>
        <v/>
      </c>
      <c r="G129" s="11" t="str">
        <f>IF(AND($C129&lt;&gt;"",G$15&lt;&gt;""),IFERROR(INDEX(PriceChangeData!$C:$C,MATCH($C129&amp;G$15,PriceChangeData!$F:$F,0)),0)+G128,"")</f>
        <v/>
      </c>
      <c r="H129" s="19" t="str">
        <f>IF(AND($C129&lt;&gt;"",H$15&lt;&gt;""),IFERROR(INDEX(PriceChangeData!$C:$C,MATCH($C129&amp;H$15,PriceChangeData!$F:$F,0)),0)+H128,"")</f>
        <v/>
      </c>
    </row>
    <row r="130" spans="3:8" x14ac:dyDescent="0.25">
      <c r="C130" s="18">
        <f t="shared" si="3"/>
        <v>43315</v>
      </c>
      <c r="D130" s="10">
        <f>IF(AND($C130&lt;&gt;"",D$15&lt;&gt;""),IFERROR(INDEX(PriceChangeData!$C:$C,MATCH($C130&amp;D$15,PriceChangeData!$F:$F,0)),0)+D129,"")</f>
        <v>5.0862131397220352E-2</v>
      </c>
      <c r="E130" s="11" t="str">
        <f>IF(AND($C130&lt;&gt;"",E$15&lt;&gt;""),IFERROR(INDEX(PriceChangeData!$C:$C,MATCH($C130&amp;E$15,PriceChangeData!$F:$F,0)),0)+E129,"")</f>
        <v/>
      </c>
      <c r="F130" s="11" t="str">
        <f>IF(AND($C130&lt;&gt;"",F$15&lt;&gt;""),IFERROR(INDEX(PriceChangeData!$C:$C,MATCH($C130&amp;F$15,PriceChangeData!$F:$F,0)),0)+F129,"")</f>
        <v/>
      </c>
      <c r="G130" s="11" t="str">
        <f>IF(AND($C130&lt;&gt;"",G$15&lt;&gt;""),IFERROR(INDEX(PriceChangeData!$C:$C,MATCH($C130&amp;G$15,PriceChangeData!$F:$F,0)),0)+G129,"")</f>
        <v/>
      </c>
      <c r="H130" s="19" t="str">
        <f>IF(AND($C130&lt;&gt;"",H$15&lt;&gt;""),IFERROR(INDEX(PriceChangeData!$C:$C,MATCH($C130&amp;H$15,PriceChangeData!$F:$F,0)),0)+H129,"")</f>
        <v/>
      </c>
    </row>
    <row r="131" spans="3:8" x14ac:dyDescent="0.25">
      <c r="C131" s="18">
        <f t="shared" si="3"/>
        <v>43316</v>
      </c>
      <c r="D131" s="10">
        <f>IF(AND($C131&lt;&gt;"",D$15&lt;&gt;""),IFERROR(INDEX(PriceChangeData!$C:$C,MATCH($C131&amp;D$15,PriceChangeData!$F:$F,0)),0)+D130,"")</f>
        <v>5.0862131397220352E-2</v>
      </c>
      <c r="E131" s="11" t="str">
        <f>IF(AND($C131&lt;&gt;"",E$15&lt;&gt;""),IFERROR(INDEX(PriceChangeData!$C:$C,MATCH($C131&amp;E$15,PriceChangeData!$F:$F,0)),0)+E130,"")</f>
        <v/>
      </c>
      <c r="F131" s="11" t="str">
        <f>IF(AND($C131&lt;&gt;"",F$15&lt;&gt;""),IFERROR(INDEX(PriceChangeData!$C:$C,MATCH($C131&amp;F$15,PriceChangeData!$F:$F,0)),0)+F130,"")</f>
        <v/>
      </c>
      <c r="G131" s="11" t="str">
        <f>IF(AND($C131&lt;&gt;"",G$15&lt;&gt;""),IFERROR(INDEX(PriceChangeData!$C:$C,MATCH($C131&amp;G$15,PriceChangeData!$F:$F,0)),0)+G130,"")</f>
        <v/>
      </c>
      <c r="H131" s="19" t="str">
        <f>IF(AND($C131&lt;&gt;"",H$15&lt;&gt;""),IFERROR(INDEX(PriceChangeData!$C:$C,MATCH($C131&amp;H$15,PriceChangeData!$F:$F,0)),0)+H130,"")</f>
        <v/>
      </c>
    </row>
    <row r="132" spans="3:8" x14ac:dyDescent="0.25">
      <c r="C132" s="18">
        <f t="shared" si="3"/>
        <v>43317</v>
      </c>
      <c r="D132" s="10">
        <f>IF(AND($C132&lt;&gt;"",D$15&lt;&gt;""),IFERROR(INDEX(PriceChangeData!$C:$C,MATCH($C132&amp;D$15,PriceChangeData!$F:$F,0)),0)+D131,"")</f>
        <v>5.0862131397220352E-2</v>
      </c>
      <c r="E132" s="11" t="str">
        <f>IF(AND($C132&lt;&gt;"",E$15&lt;&gt;""),IFERROR(INDEX(PriceChangeData!$C:$C,MATCH($C132&amp;E$15,PriceChangeData!$F:$F,0)),0)+E131,"")</f>
        <v/>
      </c>
      <c r="F132" s="11" t="str">
        <f>IF(AND($C132&lt;&gt;"",F$15&lt;&gt;""),IFERROR(INDEX(PriceChangeData!$C:$C,MATCH($C132&amp;F$15,PriceChangeData!$F:$F,0)),0)+F131,"")</f>
        <v/>
      </c>
      <c r="G132" s="11" t="str">
        <f>IF(AND($C132&lt;&gt;"",G$15&lt;&gt;""),IFERROR(INDEX(PriceChangeData!$C:$C,MATCH($C132&amp;G$15,PriceChangeData!$F:$F,0)),0)+G131,"")</f>
        <v/>
      </c>
      <c r="H132" s="19" t="str">
        <f>IF(AND($C132&lt;&gt;"",H$15&lt;&gt;""),IFERROR(INDEX(PriceChangeData!$C:$C,MATCH($C132&amp;H$15,PriceChangeData!$F:$F,0)),0)+H131,"")</f>
        <v/>
      </c>
    </row>
    <row r="133" spans="3:8" x14ac:dyDescent="0.25">
      <c r="C133" s="18">
        <f t="shared" si="3"/>
        <v>43318</v>
      </c>
      <c r="D133" s="10">
        <f>IF(AND($C133&lt;&gt;"",D$15&lt;&gt;""),IFERROR(INDEX(PriceChangeData!$C:$C,MATCH($C133&amp;D$15,PriceChangeData!$F:$F,0)),0)+D132,"")</f>
        <v>5.6338301710345526E-2</v>
      </c>
      <c r="E133" s="11" t="str">
        <f>IF(AND($C133&lt;&gt;"",E$15&lt;&gt;""),IFERROR(INDEX(PriceChangeData!$C:$C,MATCH($C133&amp;E$15,PriceChangeData!$F:$F,0)),0)+E132,"")</f>
        <v/>
      </c>
      <c r="F133" s="11" t="str">
        <f>IF(AND($C133&lt;&gt;"",F$15&lt;&gt;""),IFERROR(INDEX(PriceChangeData!$C:$C,MATCH($C133&amp;F$15,PriceChangeData!$F:$F,0)),0)+F132,"")</f>
        <v/>
      </c>
      <c r="G133" s="11" t="str">
        <f>IF(AND($C133&lt;&gt;"",G$15&lt;&gt;""),IFERROR(INDEX(PriceChangeData!$C:$C,MATCH($C133&amp;G$15,PriceChangeData!$F:$F,0)),0)+G132,"")</f>
        <v/>
      </c>
      <c r="H133" s="19" t="str">
        <f>IF(AND($C133&lt;&gt;"",H$15&lt;&gt;""),IFERROR(INDEX(PriceChangeData!$C:$C,MATCH($C133&amp;H$15,PriceChangeData!$F:$F,0)),0)+H132,"")</f>
        <v/>
      </c>
    </row>
    <row r="134" spans="3:8" x14ac:dyDescent="0.25">
      <c r="C134" s="18">
        <f t="shared" si="3"/>
        <v>43319</v>
      </c>
      <c r="D134" s="10">
        <f>IF(AND($C134&lt;&gt;"",D$15&lt;&gt;""),IFERROR(INDEX(PriceChangeData!$C:$C,MATCH($C134&amp;D$15,PriceChangeData!$F:$F,0)),0)+D133,"")</f>
        <v>2.4941673100771437E-2</v>
      </c>
      <c r="E134" s="11" t="str">
        <f>IF(AND($C134&lt;&gt;"",E$15&lt;&gt;""),IFERROR(INDEX(PriceChangeData!$C:$C,MATCH($C134&amp;E$15,PriceChangeData!$F:$F,0)),0)+E133,"")</f>
        <v/>
      </c>
      <c r="F134" s="11" t="str">
        <f>IF(AND($C134&lt;&gt;"",F$15&lt;&gt;""),IFERROR(INDEX(PriceChangeData!$C:$C,MATCH($C134&amp;F$15,PriceChangeData!$F:$F,0)),0)+F133,"")</f>
        <v/>
      </c>
      <c r="G134" s="11" t="str">
        <f>IF(AND($C134&lt;&gt;"",G$15&lt;&gt;""),IFERROR(INDEX(PriceChangeData!$C:$C,MATCH($C134&amp;G$15,PriceChangeData!$F:$F,0)),0)+G133,"")</f>
        <v/>
      </c>
      <c r="H134" s="19" t="str">
        <f>IF(AND($C134&lt;&gt;"",H$15&lt;&gt;""),IFERROR(INDEX(PriceChangeData!$C:$C,MATCH($C134&amp;H$15,PriceChangeData!$F:$F,0)),0)+H133,"")</f>
        <v/>
      </c>
    </row>
    <row r="135" spans="3:8" x14ac:dyDescent="0.25">
      <c r="C135" s="18">
        <f t="shared" si="3"/>
        <v>43320</v>
      </c>
      <c r="D135" s="10">
        <f>IF(AND($C135&lt;&gt;"",D$15&lt;&gt;""),IFERROR(INDEX(PriceChangeData!$C:$C,MATCH($C135&amp;D$15,PriceChangeData!$F:$F,0)),0)+D134,"")</f>
        <v>2.1426573965834802E-2</v>
      </c>
      <c r="E135" s="11" t="str">
        <f>IF(AND($C135&lt;&gt;"",E$15&lt;&gt;""),IFERROR(INDEX(PriceChangeData!$C:$C,MATCH($C135&amp;E$15,PriceChangeData!$F:$F,0)),0)+E134,"")</f>
        <v/>
      </c>
      <c r="F135" s="11" t="str">
        <f>IF(AND($C135&lt;&gt;"",F$15&lt;&gt;""),IFERROR(INDEX(PriceChangeData!$C:$C,MATCH($C135&amp;F$15,PriceChangeData!$F:$F,0)),0)+F134,"")</f>
        <v/>
      </c>
      <c r="G135" s="11" t="str">
        <f>IF(AND($C135&lt;&gt;"",G$15&lt;&gt;""),IFERROR(INDEX(PriceChangeData!$C:$C,MATCH($C135&amp;G$15,PriceChangeData!$F:$F,0)),0)+G134,"")</f>
        <v/>
      </c>
      <c r="H135" s="19" t="str">
        <f>IF(AND($C135&lt;&gt;"",H$15&lt;&gt;""),IFERROR(INDEX(PriceChangeData!$C:$C,MATCH($C135&amp;H$15,PriceChangeData!$F:$F,0)),0)+H134,"")</f>
        <v/>
      </c>
    </row>
    <row r="136" spans="3:8" x14ac:dyDescent="0.25">
      <c r="C136" s="18">
        <f t="shared" si="3"/>
        <v>43321</v>
      </c>
      <c r="D136" s="10">
        <f>IF(AND($C136&lt;&gt;"",D$15&lt;&gt;""),IFERROR(INDEX(PriceChangeData!$C:$C,MATCH($C136&amp;D$15,PriceChangeData!$F:$F,0)),0)+D135,"")</f>
        <v>3.9821139206672934E-2</v>
      </c>
      <c r="E136" s="11" t="str">
        <f>IF(AND($C136&lt;&gt;"",E$15&lt;&gt;""),IFERROR(INDEX(PriceChangeData!$C:$C,MATCH($C136&amp;E$15,PriceChangeData!$F:$F,0)),0)+E135,"")</f>
        <v/>
      </c>
      <c r="F136" s="11" t="str">
        <f>IF(AND($C136&lt;&gt;"",F$15&lt;&gt;""),IFERROR(INDEX(PriceChangeData!$C:$C,MATCH($C136&amp;F$15,PriceChangeData!$F:$F,0)),0)+F135,"")</f>
        <v/>
      </c>
      <c r="G136" s="11" t="str">
        <f>IF(AND($C136&lt;&gt;"",G$15&lt;&gt;""),IFERROR(INDEX(PriceChangeData!$C:$C,MATCH($C136&amp;G$15,PriceChangeData!$F:$F,0)),0)+G135,"")</f>
        <v/>
      </c>
      <c r="H136" s="19" t="str">
        <f>IF(AND($C136&lt;&gt;"",H$15&lt;&gt;""),IFERROR(INDEX(PriceChangeData!$C:$C,MATCH($C136&amp;H$15,PriceChangeData!$F:$F,0)),0)+H135,"")</f>
        <v/>
      </c>
    </row>
    <row r="137" spans="3:8" x14ac:dyDescent="0.25">
      <c r="C137" s="18">
        <f t="shared" si="3"/>
        <v>43322</v>
      </c>
      <c r="D137" s="10">
        <f>IF(AND($C137&lt;&gt;"",D$15&lt;&gt;""),IFERROR(INDEX(PriceChangeData!$C:$C,MATCH($C137&amp;D$15,PriceChangeData!$F:$F,0)),0)+D136,"")</f>
        <v>4.327121315471797E-2</v>
      </c>
      <c r="E137" s="11" t="str">
        <f>IF(AND($C137&lt;&gt;"",E$15&lt;&gt;""),IFERROR(INDEX(PriceChangeData!$C:$C,MATCH($C137&amp;E$15,PriceChangeData!$F:$F,0)),0)+E136,"")</f>
        <v/>
      </c>
      <c r="F137" s="11" t="str">
        <f>IF(AND($C137&lt;&gt;"",F$15&lt;&gt;""),IFERROR(INDEX(PriceChangeData!$C:$C,MATCH($C137&amp;F$15,PriceChangeData!$F:$F,0)),0)+F136,"")</f>
        <v/>
      </c>
      <c r="G137" s="11" t="str">
        <f>IF(AND($C137&lt;&gt;"",G$15&lt;&gt;""),IFERROR(INDEX(PriceChangeData!$C:$C,MATCH($C137&amp;G$15,PriceChangeData!$F:$F,0)),0)+G136,"")</f>
        <v/>
      </c>
      <c r="H137" s="19" t="str">
        <f>IF(AND($C137&lt;&gt;"",H$15&lt;&gt;""),IFERROR(INDEX(PriceChangeData!$C:$C,MATCH($C137&amp;H$15,PriceChangeData!$F:$F,0)),0)+H136,"")</f>
        <v/>
      </c>
    </row>
    <row r="138" spans="3:8" x14ac:dyDescent="0.25">
      <c r="C138" s="18">
        <f t="shared" si="3"/>
        <v>43323</v>
      </c>
      <c r="D138" s="10">
        <f>IF(AND($C138&lt;&gt;"",D$15&lt;&gt;""),IFERROR(INDEX(PriceChangeData!$C:$C,MATCH($C138&amp;D$15,PriceChangeData!$F:$F,0)),0)+D137,"")</f>
        <v>4.327121315471797E-2</v>
      </c>
      <c r="E138" s="11" t="str">
        <f>IF(AND($C138&lt;&gt;"",E$15&lt;&gt;""),IFERROR(INDEX(PriceChangeData!$C:$C,MATCH($C138&amp;E$15,PriceChangeData!$F:$F,0)),0)+E137,"")</f>
        <v/>
      </c>
      <c r="F138" s="11" t="str">
        <f>IF(AND($C138&lt;&gt;"",F$15&lt;&gt;""),IFERROR(INDEX(PriceChangeData!$C:$C,MATCH($C138&amp;F$15,PriceChangeData!$F:$F,0)),0)+F137,"")</f>
        <v/>
      </c>
      <c r="G138" s="11" t="str">
        <f>IF(AND($C138&lt;&gt;"",G$15&lt;&gt;""),IFERROR(INDEX(PriceChangeData!$C:$C,MATCH($C138&amp;G$15,PriceChangeData!$F:$F,0)),0)+G137,"")</f>
        <v/>
      </c>
      <c r="H138" s="19" t="str">
        <f>IF(AND($C138&lt;&gt;"",H$15&lt;&gt;""),IFERROR(INDEX(PriceChangeData!$C:$C,MATCH($C138&amp;H$15,PriceChangeData!$F:$F,0)),0)+H137,"")</f>
        <v/>
      </c>
    </row>
    <row r="139" spans="3:8" x14ac:dyDescent="0.25">
      <c r="C139" s="18">
        <f t="shared" si="3"/>
        <v>43324</v>
      </c>
      <c r="D139" s="10">
        <f>IF(AND($C139&lt;&gt;"",D$15&lt;&gt;""),IFERROR(INDEX(PriceChangeData!$C:$C,MATCH($C139&amp;D$15,PriceChangeData!$F:$F,0)),0)+D138,"")</f>
        <v>4.327121315471797E-2</v>
      </c>
      <c r="E139" s="11" t="str">
        <f>IF(AND($C139&lt;&gt;"",E$15&lt;&gt;""),IFERROR(INDEX(PriceChangeData!$C:$C,MATCH($C139&amp;E$15,PriceChangeData!$F:$F,0)),0)+E138,"")</f>
        <v/>
      </c>
      <c r="F139" s="11" t="str">
        <f>IF(AND($C139&lt;&gt;"",F$15&lt;&gt;""),IFERROR(INDEX(PriceChangeData!$C:$C,MATCH($C139&amp;F$15,PriceChangeData!$F:$F,0)),0)+F138,"")</f>
        <v/>
      </c>
      <c r="G139" s="11" t="str">
        <f>IF(AND($C139&lt;&gt;"",G$15&lt;&gt;""),IFERROR(INDEX(PriceChangeData!$C:$C,MATCH($C139&amp;G$15,PriceChangeData!$F:$F,0)),0)+G138,"")</f>
        <v/>
      </c>
      <c r="H139" s="19" t="str">
        <f>IF(AND($C139&lt;&gt;"",H$15&lt;&gt;""),IFERROR(INDEX(PriceChangeData!$C:$C,MATCH($C139&amp;H$15,PriceChangeData!$F:$F,0)),0)+H138,"")</f>
        <v/>
      </c>
    </row>
    <row r="140" spans="3:8" x14ac:dyDescent="0.25">
      <c r="C140" s="18">
        <f t="shared" si="3"/>
        <v>43325</v>
      </c>
      <c r="D140" s="10">
        <f>IF(AND($C140&lt;&gt;"",D$15&lt;&gt;""),IFERROR(INDEX(PriceChangeData!$C:$C,MATCH($C140&amp;D$15,PriceChangeData!$F:$F,0)),0)+D139,"")</f>
        <v>5.3449107149128539E-2</v>
      </c>
      <c r="E140" s="11" t="str">
        <f>IF(AND($C140&lt;&gt;"",E$15&lt;&gt;""),IFERROR(INDEX(PriceChangeData!$C:$C,MATCH($C140&amp;E$15,PriceChangeData!$F:$F,0)),0)+E139,"")</f>
        <v/>
      </c>
      <c r="F140" s="11" t="str">
        <f>IF(AND($C140&lt;&gt;"",F$15&lt;&gt;""),IFERROR(INDEX(PriceChangeData!$C:$C,MATCH($C140&amp;F$15,PriceChangeData!$F:$F,0)),0)+F139,"")</f>
        <v/>
      </c>
      <c r="G140" s="11" t="str">
        <f>IF(AND($C140&lt;&gt;"",G$15&lt;&gt;""),IFERROR(INDEX(PriceChangeData!$C:$C,MATCH($C140&amp;G$15,PriceChangeData!$F:$F,0)),0)+G139,"")</f>
        <v/>
      </c>
      <c r="H140" s="19" t="str">
        <f>IF(AND($C140&lt;&gt;"",H$15&lt;&gt;""),IFERROR(INDEX(PriceChangeData!$C:$C,MATCH($C140&amp;H$15,PriceChangeData!$F:$F,0)),0)+H139,"")</f>
        <v/>
      </c>
    </row>
    <row r="141" spans="3:8" x14ac:dyDescent="0.25">
      <c r="C141" s="18">
        <f t="shared" si="3"/>
        <v>43326</v>
      </c>
      <c r="D141" s="10">
        <f>IF(AND($C141&lt;&gt;"",D$15&lt;&gt;""),IFERROR(INDEX(PriceChangeData!$C:$C,MATCH($C141&amp;D$15,PriceChangeData!$F:$F,0)),0)+D140,"")</f>
        <v>4.452313108441467E-2</v>
      </c>
      <c r="E141" s="11" t="str">
        <f>IF(AND($C141&lt;&gt;"",E$15&lt;&gt;""),IFERROR(INDEX(PriceChangeData!$C:$C,MATCH($C141&amp;E$15,PriceChangeData!$F:$F,0)),0)+E140,"")</f>
        <v/>
      </c>
      <c r="F141" s="11" t="str">
        <f>IF(AND($C141&lt;&gt;"",F$15&lt;&gt;""),IFERROR(INDEX(PriceChangeData!$C:$C,MATCH($C141&amp;F$15,PriceChangeData!$F:$F,0)),0)+F140,"")</f>
        <v/>
      </c>
      <c r="G141" s="11" t="str">
        <f>IF(AND($C141&lt;&gt;"",G$15&lt;&gt;""),IFERROR(INDEX(PriceChangeData!$C:$C,MATCH($C141&amp;G$15,PriceChangeData!$F:$F,0)),0)+G140,"")</f>
        <v/>
      </c>
      <c r="H141" s="19" t="str">
        <f>IF(AND($C141&lt;&gt;"",H$15&lt;&gt;""),IFERROR(INDEX(PriceChangeData!$C:$C,MATCH($C141&amp;H$15,PriceChangeData!$F:$F,0)),0)+H140,"")</f>
        <v/>
      </c>
    </row>
    <row r="142" spans="3:8" x14ac:dyDescent="0.25">
      <c r="C142" s="18">
        <f t="shared" si="3"/>
        <v>43327</v>
      </c>
      <c r="D142" s="10">
        <f>IF(AND($C142&lt;&gt;"",D$15&lt;&gt;""),IFERROR(INDEX(PriceChangeData!$C:$C,MATCH($C142&amp;D$15,PriceChangeData!$F:$F,0)),0)+D141,"")</f>
        <v>6.0348414406140638E-2</v>
      </c>
      <c r="E142" s="11" t="str">
        <f>IF(AND($C142&lt;&gt;"",E$15&lt;&gt;""),IFERROR(INDEX(PriceChangeData!$C:$C,MATCH($C142&amp;E$15,PriceChangeData!$F:$F,0)),0)+E141,"")</f>
        <v/>
      </c>
      <c r="F142" s="11" t="str">
        <f>IF(AND($C142&lt;&gt;"",F$15&lt;&gt;""),IFERROR(INDEX(PriceChangeData!$C:$C,MATCH($C142&amp;F$15,PriceChangeData!$F:$F,0)),0)+F141,"")</f>
        <v/>
      </c>
      <c r="G142" s="11" t="str">
        <f>IF(AND($C142&lt;&gt;"",G$15&lt;&gt;""),IFERROR(INDEX(PriceChangeData!$C:$C,MATCH($C142&amp;G$15,PriceChangeData!$F:$F,0)),0)+G141,"")</f>
        <v/>
      </c>
      <c r="H142" s="19" t="str">
        <f>IF(AND($C142&lt;&gt;"",H$15&lt;&gt;""),IFERROR(INDEX(PriceChangeData!$C:$C,MATCH($C142&amp;H$15,PriceChangeData!$F:$F,0)),0)+H141,"")</f>
        <v/>
      </c>
    </row>
    <row r="143" spans="3:8" x14ac:dyDescent="0.25">
      <c r="C143" s="18">
        <f t="shared" si="3"/>
        <v>43328</v>
      </c>
      <c r="D143" s="10">
        <f>IF(AND($C143&lt;&gt;"",D$15&lt;&gt;""),IFERROR(INDEX(PriceChangeData!$C:$C,MATCH($C143&amp;D$15,PriceChangeData!$F:$F,0)),0)+D142,"")</f>
        <v>6.8218641912647662E-2</v>
      </c>
      <c r="E143" s="11" t="str">
        <f>IF(AND($C143&lt;&gt;"",E$15&lt;&gt;""),IFERROR(INDEX(PriceChangeData!$C:$C,MATCH($C143&amp;E$15,PriceChangeData!$F:$F,0)),0)+E142,"")</f>
        <v/>
      </c>
      <c r="F143" s="11" t="str">
        <f>IF(AND($C143&lt;&gt;"",F$15&lt;&gt;""),IFERROR(INDEX(PriceChangeData!$C:$C,MATCH($C143&amp;F$15,PriceChangeData!$F:$F,0)),0)+F142,"")</f>
        <v/>
      </c>
      <c r="G143" s="11" t="str">
        <f>IF(AND($C143&lt;&gt;"",G$15&lt;&gt;""),IFERROR(INDEX(PriceChangeData!$C:$C,MATCH($C143&amp;G$15,PriceChangeData!$F:$F,0)),0)+G142,"")</f>
        <v/>
      </c>
      <c r="H143" s="19" t="str">
        <f>IF(AND($C143&lt;&gt;"",H$15&lt;&gt;""),IFERROR(INDEX(PriceChangeData!$C:$C,MATCH($C143&amp;H$15,PriceChangeData!$F:$F,0)),0)+H142,"")</f>
        <v/>
      </c>
    </row>
    <row r="144" spans="3:8" x14ac:dyDescent="0.25">
      <c r="C144" s="18">
        <f t="shared" si="3"/>
        <v>43329</v>
      </c>
      <c r="D144" s="10">
        <f>IF(AND($C144&lt;&gt;"",D$15&lt;&gt;""),IFERROR(INDEX(PriceChangeData!$C:$C,MATCH($C144&amp;D$15,PriceChangeData!$F:$F,0)),0)+D143,"")</f>
        <v>7.4207775140479548E-2</v>
      </c>
      <c r="E144" s="11" t="str">
        <f>IF(AND($C144&lt;&gt;"",E$15&lt;&gt;""),IFERROR(INDEX(PriceChangeData!$C:$C,MATCH($C144&amp;E$15,PriceChangeData!$F:$F,0)),0)+E143,"")</f>
        <v/>
      </c>
      <c r="F144" s="11" t="str">
        <f>IF(AND($C144&lt;&gt;"",F$15&lt;&gt;""),IFERROR(INDEX(PriceChangeData!$C:$C,MATCH($C144&amp;F$15,PriceChangeData!$F:$F,0)),0)+F143,"")</f>
        <v/>
      </c>
      <c r="G144" s="11" t="str">
        <f>IF(AND($C144&lt;&gt;"",G$15&lt;&gt;""),IFERROR(INDEX(PriceChangeData!$C:$C,MATCH($C144&amp;G$15,PriceChangeData!$F:$F,0)),0)+G143,"")</f>
        <v/>
      </c>
      <c r="H144" s="19" t="str">
        <f>IF(AND($C144&lt;&gt;"",H$15&lt;&gt;""),IFERROR(INDEX(PriceChangeData!$C:$C,MATCH($C144&amp;H$15,PriceChangeData!$F:$F,0)),0)+H143,"")</f>
        <v/>
      </c>
    </row>
    <row r="145" spans="3:8" x14ac:dyDescent="0.25">
      <c r="C145" s="18">
        <f t="shared" si="3"/>
        <v>43330</v>
      </c>
      <c r="D145" s="10">
        <f>IF(AND($C145&lt;&gt;"",D$15&lt;&gt;""),IFERROR(INDEX(PriceChangeData!$C:$C,MATCH($C145&amp;D$15,PriceChangeData!$F:$F,0)),0)+D144,"")</f>
        <v>7.4207775140479548E-2</v>
      </c>
      <c r="E145" s="11" t="str">
        <f>IF(AND($C145&lt;&gt;"",E$15&lt;&gt;""),IFERROR(INDEX(PriceChangeData!$C:$C,MATCH($C145&amp;E$15,PriceChangeData!$F:$F,0)),0)+E144,"")</f>
        <v/>
      </c>
      <c r="F145" s="11" t="str">
        <f>IF(AND($C145&lt;&gt;"",F$15&lt;&gt;""),IFERROR(INDEX(PriceChangeData!$C:$C,MATCH($C145&amp;F$15,PriceChangeData!$F:$F,0)),0)+F144,"")</f>
        <v/>
      </c>
      <c r="G145" s="11" t="str">
        <f>IF(AND($C145&lt;&gt;"",G$15&lt;&gt;""),IFERROR(INDEX(PriceChangeData!$C:$C,MATCH($C145&amp;G$15,PriceChangeData!$F:$F,0)),0)+G144,"")</f>
        <v/>
      </c>
      <c r="H145" s="19" t="str">
        <f>IF(AND($C145&lt;&gt;"",H$15&lt;&gt;""),IFERROR(INDEX(PriceChangeData!$C:$C,MATCH($C145&amp;H$15,PriceChangeData!$F:$F,0)),0)+H144,"")</f>
        <v/>
      </c>
    </row>
    <row r="146" spans="3:8" x14ac:dyDescent="0.25">
      <c r="C146" s="18">
        <f t="shared" ref="C146:C209" si="4">IFERROR(IF(C145+1&gt;C$12,"",C145+1),"")</f>
        <v>43331</v>
      </c>
      <c r="D146" s="10">
        <f>IF(AND($C146&lt;&gt;"",D$15&lt;&gt;""),IFERROR(INDEX(PriceChangeData!$C:$C,MATCH($C146&amp;D$15,PriceChangeData!$F:$F,0)),0)+D145,"")</f>
        <v>7.4207775140479548E-2</v>
      </c>
      <c r="E146" s="11" t="str">
        <f>IF(AND($C146&lt;&gt;"",E$15&lt;&gt;""),IFERROR(INDEX(PriceChangeData!$C:$C,MATCH($C146&amp;E$15,PriceChangeData!$F:$F,0)),0)+E145,"")</f>
        <v/>
      </c>
      <c r="F146" s="11" t="str">
        <f>IF(AND($C146&lt;&gt;"",F$15&lt;&gt;""),IFERROR(INDEX(PriceChangeData!$C:$C,MATCH($C146&amp;F$15,PriceChangeData!$F:$F,0)),0)+F145,"")</f>
        <v/>
      </c>
      <c r="G146" s="11" t="str">
        <f>IF(AND($C146&lt;&gt;"",G$15&lt;&gt;""),IFERROR(INDEX(PriceChangeData!$C:$C,MATCH($C146&amp;G$15,PriceChangeData!$F:$F,0)),0)+G145,"")</f>
        <v/>
      </c>
      <c r="H146" s="19" t="str">
        <f>IF(AND($C146&lt;&gt;"",H$15&lt;&gt;""),IFERROR(INDEX(PriceChangeData!$C:$C,MATCH($C146&amp;H$15,PriceChangeData!$F:$F,0)),0)+H145,"")</f>
        <v/>
      </c>
    </row>
    <row r="147" spans="3:8" x14ac:dyDescent="0.25">
      <c r="C147" s="18">
        <f t="shared" si="4"/>
        <v>43332</v>
      </c>
      <c r="D147" s="10">
        <f>IF(AND($C147&lt;&gt;"",D$15&lt;&gt;""),IFERROR(INDEX(PriceChangeData!$C:$C,MATCH($C147&amp;D$15,PriceChangeData!$F:$F,0)),0)+D146,"")</f>
        <v>6.2193422735923973E-2</v>
      </c>
      <c r="E147" s="11" t="str">
        <f>IF(AND($C147&lt;&gt;"",E$15&lt;&gt;""),IFERROR(INDEX(PriceChangeData!$C:$C,MATCH($C147&amp;E$15,PriceChangeData!$F:$F,0)),0)+E146,"")</f>
        <v/>
      </c>
      <c r="F147" s="11" t="str">
        <f>IF(AND($C147&lt;&gt;"",F$15&lt;&gt;""),IFERROR(INDEX(PriceChangeData!$C:$C,MATCH($C147&amp;F$15,PriceChangeData!$F:$F,0)),0)+F146,"")</f>
        <v/>
      </c>
      <c r="G147" s="11" t="str">
        <f>IF(AND($C147&lt;&gt;"",G$15&lt;&gt;""),IFERROR(INDEX(PriceChangeData!$C:$C,MATCH($C147&amp;G$15,PriceChangeData!$F:$F,0)),0)+G146,"")</f>
        <v/>
      </c>
      <c r="H147" s="19" t="str">
        <f>IF(AND($C147&lt;&gt;"",H$15&lt;&gt;""),IFERROR(INDEX(PriceChangeData!$C:$C,MATCH($C147&amp;H$15,PriceChangeData!$F:$F,0)),0)+H146,"")</f>
        <v/>
      </c>
    </row>
    <row r="148" spans="3:8" x14ac:dyDescent="0.25">
      <c r="C148" s="18">
        <f t="shared" si="4"/>
        <v>43333</v>
      </c>
      <c r="D148" s="10">
        <f>IF(AND($C148&lt;&gt;"",D$15&lt;&gt;""),IFERROR(INDEX(PriceChangeData!$C:$C,MATCH($C148&amp;D$15,PriceChangeData!$F:$F,0)),0)+D147,"")</f>
        <v>6.3319312504056979E-2</v>
      </c>
      <c r="E148" s="11" t="str">
        <f>IF(AND($C148&lt;&gt;"",E$15&lt;&gt;""),IFERROR(INDEX(PriceChangeData!$C:$C,MATCH($C148&amp;E$15,PriceChangeData!$F:$F,0)),0)+E147,"")</f>
        <v/>
      </c>
      <c r="F148" s="11" t="str">
        <f>IF(AND($C148&lt;&gt;"",F$15&lt;&gt;""),IFERROR(INDEX(PriceChangeData!$C:$C,MATCH($C148&amp;F$15,PriceChangeData!$F:$F,0)),0)+F147,"")</f>
        <v/>
      </c>
      <c r="G148" s="11" t="str">
        <f>IF(AND($C148&lt;&gt;"",G$15&lt;&gt;""),IFERROR(INDEX(PriceChangeData!$C:$C,MATCH($C148&amp;G$15,PriceChangeData!$F:$F,0)),0)+G147,"")</f>
        <v/>
      </c>
      <c r="H148" s="19" t="str">
        <f>IF(AND($C148&lt;&gt;"",H$15&lt;&gt;""),IFERROR(INDEX(PriceChangeData!$C:$C,MATCH($C148&amp;H$15,PriceChangeData!$F:$F,0)),0)+H147,"")</f>
        <v/>
      </c>
    </row>
    <row r="149" spans="3:8" x14ac:dyDescent="0.25">
      <c r="C149" s="18">
        <f t="shared" si="4"/>
        <v>43334</v>
      </c>
      <c r="D149" s="10">
        <f>IF(AND($C149&lt;&gt;"",D$15&lt;&gt;""),IFERROR(INDEX(PriceChangeData!$C:$C,MATCH($C149&amp;D$15,PriceChangeData!$F:$F,0)),0)+D148,"")</f>
        <v>6.2296114518156656E-2</v>
      </c>
      <c r="E149" s="11" t="str">
        <f>IF(AND($C149&lt;&gt;"",E$15&lt;&gt;""),IFERROR(INDEX(PriceChangeData!$C:$C,MATCH($C149&amp;E$15,PriceChangeData!$F:$F,0)),0)+E148,"")</f>
        <v/>
      </c>
      <c r="F149" s="11" t="str">
        <f>IF(AND($C149&lt;&gt;"",F$15&lt;&gt;""),IFERROR(INDEX(PriceChangeData!$C:$C,MATCH($C149&amp;F$15,PriceChangeData!$F:$F,0)),0)+F148,"")</f>
        <v/>
      </c>
      <c r="G149" s="11" t="str">
        <f>IF(AND($C149&lt;&gt;"",G$15&lt;&gt;""),IFERROR(INDEX(PriceChangeData!$C:$C,MATCH($C149&amp;G$15,PriceChangeData!$F:$F,0)),0)+G148,"")</f>
        <v/>
      </c>
      <c r="H149" s="19" t="str">
        <f>IF(AND($C149&lt;&gt;"",H$15&lt;&gt;""),IFERROR(INDEX(PriceChangeData!$C:$C,MATCH($C149&amp;H$15,PriceChangeData!$F:$F,0)),0)+H148,"")</f>
        <v/>
      </c>
    </row>
    <row r="150" spans="3:8" x14ac:dyDescent="0.25">
      <c r="C150" s="18">
        <f t="shared" si="4"/>
        <v>43335</v>
      </c>
      <c r="D150" s="10">
        <f>IF(AND($C150&lt;&gt;"",D$15&lt;&gt;""),IFERROR(INDEX(PriceChangeData!$C:$C,MATCH($C150&amp;D$15,PriceChangeData!$F:$F,0)),0)+D149,"")</f>
        <v>5.7265464700361313E-2</v>
      </c>
      <c r="E150" s="11" t="str">
        <f>IF(AND($C150&lt;&gt;"",E$15&lt;&gt;""),IFERROR(INDEX(PriceChangeData!$C:$C,MATCH($C150&amp;E$15,PriceChangeData!$F:$F,0)),0)+E149,"")</f>
        <v/>
      </c>
      <c r="F150" s="11" t="str">
        <f>IF(AND($C150&lt;&gt;"",F$15&lt;&gt;""),IFERROR(INDEX(PriceChangeData!$C:$C,MATCH($C150&amp;F$15,PriceChangeData!$F:$F,0)),0)+F149,"")</f>
        <v/>
      </c>
      <c r="G150" s="11" t="str">
        <f>IF(AND($C150&lt;&gt;"",G$15&lt;&gt;""),IFERROR(INDEX(PriceChangeData!$C:$C,MATCH($C150&amp;G$15,PriceChangeData!$F:$F,0)),0)+G149,"")</f>
        <v/>
      </c>
      <c r="H150" s="19" t="str">
        <f>IF(AND($C150&lt;&gt;"",H$15&lt;&gt;""),IFERROR(INDEX(PriceChangeData!$C:$C,MATCH($C150&amp;H$15,PriceChangeData!$F:$F,0)),0)+H149,"")</f>
        <v/>
      </c>
    </row>
    <row r="151" spans="3:8" x14ac:dyDescent="0.25">
      <c r="C151" s="18">
        <f t="shared" si="4"/>
        <v>43336</v>
      </c>
      <c r="D151" s="10">
        <f>IF(AND($C151&lt;&gt;"",D$15&lt;&gt;""),IFERROR(INDEX(PriceChangeData!$C:$C,MATCH($C151&amp;D$15,PriceChangeData!$F:$F,0)),0)+D150,"")</f>
        <v>5.9834898908793871E-2</v>
      </c>
      <c r="E151" s="11" t="str">
        <f>IF(AND($C151&lt;&gt;"",E$15&lt;&gt;""),IFERROR(INDEX(PriceChangeData!$C:$C,MATCH($C151&amp;E$15,PriceChangeData!$F:$F,0)),0)+E150,"")</f>
        <v/>
      </c>
      <c r="F151" s="11" t="str">
        <f>IF(AND($C151&lt;&gt;"",F$15&lt;&gt;""),IFERROR(INDEX(PriceChangeData!$C:$C,MATCH($C151&amp;F$15,PriceChangeData!$F:$F,0)),0)+F150,"")</f>
        <v/>
      </c>
      <c r="G151" s="11" t="str">
        <f>IF(AND($C151&lt;&gt;"",G$15&lt;&gt;""),IFERROR(INDEX(PriceChangeData!$C:$C,MATCH($C151&amp;G$15,PriceChangeData!$F:$F,0)),0)+G150,"")</f>
        <v/>
      </c>
      <c r="H151" s="19" t="str">
        <f>IF(AND($C151&lt;&gt;"",H$15&lt;&gt;""),IFERROR(INDEX(PriceChangeData!$C:$C,MATCH($C151&amp;H$15,PriceChangeData!$F:$F,0)),0)+H150,"")</f>
        <v/>
      </c>
    </row>
    <row r="152" spans="3:8" x14ac:dyDescent="0.25">
      <c r="C152" s="18">
        <f t="shared" si="4"/>
        <v>43337</v>
      </c>
      <c r="D152" s="10">
        <f>IF(AND($C152&lt;&gt;"",D$15&lt;&gt;""),IFERROR(INDEX(PriceChangeData!$C:$C,MATCH($C152&amp;D$15,PriceChangeData!$F:$F,0)),0)+D151,"")</f>
        <v>5.9834898908793871E-2</v>
      </c>
      <c r="E152" s="11" t="str">
        <f>IF(AND($C152&lt;&gt;"",E$15&lt;&gt;""),IFERROR(INDEX(PriceChangeData!$C:$C,MATCH($C152&amp;E$15,PriceChangeData!$F:$F,0)),0)+E151,"")</f>
        <v/>
      </c>
      <c r="F152" s="11" t="str">
        <f>IF(AND($C152&lt;&gt;"",F$15&lt;&gt;""),IFERROR(INDEX(PriceChangeData!$C:$C,MATCH($C152&amp;F$15,PriceChangeData!$F:$F,0)),0)+F151,"")</f>
        <v/>
      </c>
      <c r="G152" s="11" t="str">
        <f>IF(AND($C152&lt;&gt;"",G$15&lt;&gt;""),IFERROR(INDEX(PriceChangeData!$C:$C,MATCH($C152&amp;G$15,PriceChangeData!$F:$F,0)),0)+G151,"")</f>
        <v/>
      </c>
      <c r="H152" s="19" t="str">
        <f>IF(AND($C152&lt;&gt;"",H$15&lt;&gt;""),IFERROR(INDEX(PriceChangeData!$C:$C,MATCH($C152&amp;H$15,PriceChangeData!$F:$F,0)),0)+H151,"")</f>
        <v/>
      </c>
    </row>
    <row r="153" spans="3:8" x14ac:dyDescent="0.25">
      <c r="C153" s="18">
        <f t="shared" si="4"/>
        <v>43338</v>
      </c>
      <c r="D153" s="10">
        <f>IF(AND($C153&lt;&gt;"",D$15&lt;&gt;""),IFERROR(INDEX(PriceChangeData!$C:$C,MATCH($C153&amp;D$15,PriceChangeData!$F:$F,0)),0)+D152,"")</f>
        <v>5.9834898908793871E-2</v>
      </c>
      <c r="E153" s="11" t="str">
        <f>IF(AND($C153&lt;&gt;"",E$15&lt;&gt;""),IFERROR(INDEX(PriceChangeData!$C:$C,MATCH($C153&amp;E$15,PriceChangeData!$F:$F,0)),0)+E152,"")</f>
        <v/>
      </c>
      <c r="F153" s="11" t="str">
        <f>IF(AND($C153&lt;&gt;"",F$15&lt;&gt;""),IFERROR(INDEX(PriceChangeData!$C:$C,MATCH($C153&amp;F$15,PriceChangeData!$F:$F,0)),0)+F152,"")</f>
        <v/>
      </c>
      <c r="G153" s="11" t="str">
        <f>IF(AND($C153&lt;&gt;"",G$15&lt;&gt;""),IFERROR(INDEX(PriceChangeData!$C:$C,MATCH($C153&amp;G$15,PriceChangeData!$F:$F,0)),0)+G152,"")</f>
        <v/>
      </c>
      <c r="H153" s="19" t="str">
        <f>IF(AND($C153&lt;&gt;"",H$15&lt;&gt;""),IFERROR(INDEX(PriceChangeData!$C:$C,MATCH($C153&amp;H$15,PriceChangeData!$F:$F,0)),0)+H152,"")</f>
        <v/>
      </c>
    </row>
    <row r="154" spans="3:8" x14ac:dyDescent="0.25">
      <c r="C154" s="18">
        <f t="shared" si="4"/>
        <v>43339</v>
      </c>
      <c r="D154" s="10">
        <f>IF(AND($C154&lt;&gt;"",D$15&lt;&gt;""),IFERROR(INDEX(PriceChangeData!$C:$C,MATCH($C154&amp;D$15,PriceChangeData!$F:$F,0)),0)+D153,"")</f>
        <v>6.6180170945752861E-2</v>
      </c>
      <c r="E154" s="11" t="str">
        <f>IF(AND($C154&lt;&gt;"",E$15&lt;&gt;""),IFERROR(INDEX(PriceChangeData!$C:$C,MATCH($C154&amp;E$15,PriceChangeData!$F:$F,0)),0)+E153,"")</f>
        <v/>
      </c>
      <c r="F154" s="11" t="str">
        <f>IF(AND($C154&lt;&gt;"",F$15&lt;&gt;""),IFERROR(INDEX(PriceChangeData!$C:$C,MATCH($C154&amp;F$15,PriceChangeData!$F:$F,0)),0)+F153,"")</f>
        <v/>
      </c>
      <c r="G154" s="11" t="str">
        <f>IF(AND($C154&lt;&gt;"",G$15&lt;&gt;""),IFERROR(INDEX(PriceChangeData!$C:$C,MATCH($C154&amp;G$15,PriceChangeData!$F:$F,0)),0)+G153,"")</f>
        <v/>
      </c>
      <c r="H154" s="19" t="str">
        <f>IF(AND($C154&lt;&gt;"",H$15&lt;&gt;""),IFERROR(INDEX(PriceChangeData!$C:$C,MATCH($C154&amp;H$15,PriceChangeData!$F:$F,0)),0)+H153,"")</f>
        <v/>
      </c>
    </row>
    <row r="155" spans="3:8" x14ac:dyDescent="0.25">
      <c r="C155" s="18">
        <f t="shared" si="4"/>
        <v>43340</v>
      </c>
      <c r="D155" s="10">
        <f>IF(AND($C155&lt;&gt;"",D$15&lt;&gt;""),IFERROR(INDEX(PriceChangeData!$C:$C,MATCH($C155&amp;D$15,PriceChangeData!$F:$F,0)),0)+D154,"")</f>
        <v>5.8396913354103235E-2</v>
      </c>
      <c r="E155" s="11" t="str">
        <f>IF(AND($C155&lt;&gt;"",E$15&lt;&gt;""),IFERROR(INDEX(PriceChangeData!$C:$C,MATCH($C155&amp;E$15,PriceChangeData!$F:$F,0)),0)+E154,"")</f>
        <v/>
      </c>
      <c r="F155" s="11" t="str">
        <f>IF(AND($C155&lt;&gt;"",F$15&lt;&gt;""),IFERROR(INDEX(PriceChangeData!$C:$C,MATCH($C155&amp;F$15,PriceChangeData!$F:$F,0)),0)+F154,"")</f>
        <v/>
      </c>
      <c r="G155" s="11" t="str">
        <f>IF(AND($C155&lt;&gt;"",G$15&lt;&gt;""),IFERROR(INDEX(PriceChangeData!$C:$C,MATCH($C155&amp;G$15,PriceChangeData!$F:$F,0)),0)+G154,"")</f>
        <v/>
      </c>
      <c r="H155" s="19" t="str">
        <f>IF(AND($C155&lt;&gt;"",H$15&lt;&gt;""),IFERROR(INDEX(PriceChangeData!$C:$C,MATCH($C155&amp;H$15,PriceChangeData!$F:$F,0)),0)+H154,"")</f>
        <v/>
      </c>
    </row>
    <row r="156" spans="3:8" x14ac:dyDescent="0.25">
      <c r="C156" s="18">
        <f t="shared" si="4"/>
        <v>43341</v>
      </c>
      <c r="D156" s="10">
        <f>IF(AND($C156&lt;&gt;"",D$15&lt;&gt;""),IFERROR(INDEX(PriceChangeData!$C:$C,MATCH($C156&amp;D$15,PriceChangeData!$F:$F,0)),0)+D155,"")</f>
        <v>6.1680854048098373E-2</v>
      </c>
      <c r="E156" s="11" t="str">
        <f>IF(AND($C156&lt;&gt;"",E$15&lt;&gt;""),IFERROR(INDEX(PriceChangeData!$C:$C,MATCH($C156&amp;E$15,PriceChangeData!$F:$F,0)),0)+E155,"")</f>
        <v/>
      </c>
      <c r="F156" s="11" t="str">
        <f>IF(AND($C156&lt;&gt;"",F$15&lt;&gt;""),IFERROR(INDEX(PriceChangeData!$C:$C,MATCH($C156&amp;F$15,PriceChangeData!$F:$F,0)),0)+F155,"")</f>
        <v/>
      </c>
      <c r="G156" s="11" t="str">
        <f>IF(AND($C156&lt;&gt;"",G$15&lt;&gt;""),IFERROR(INDEX(PriceChangeData!$C:$C,MATCH($C156&amp;G$15,PriceChangeData!$F:$F,0)),0)+G155,"")</f>
        <v/>
      </c>
      <c r="H156" s="19" t="str">
        <f>IF(AND($C156&lt;&gt;"",H$15&lt;&gt;""),IFERROR(INDEX(PriceChangeData!$C:$C,MATCH($C156&amp;H$15,PriceChangeData!$F:$F,0)),0)+H155,"")</f>
        <v/>
      </c>
    </row>
    <row r="157" spans="3:8" x14ac:dyDescent="0.25">
      <c r="C157" s="18">
        <f t="shared" si="4"/>
        <v>43342</v>
      </c>
      <c r="D157" s="10">
        <f>IF(AND($C157&lt;&gt;"",D$15&lt;&gt;""),IFERROR(INDEX(PriceChangeData!$C:$C,MATCH($C157&amp;D$15,PriceChangeData!$F:$F,0)),0)+D156,"")</f>
        <v>5.3552700791531432E-2</v>
      </c>
      <c r="E157" s="11" t="str">
        <f>IF(AND($C157&lt;&gt;"",E$15&lt;&gt;""),IFERROR(INDEX(PriceChangeData!$C:$C,MATCH($C157&amp;E$15,PriceChangeData!$F:$F,0)),0)+E156,"")</f>
        <v/>
      </c>
      <c r="F157" s="11" t="str">
        <f>IF(AND($C157&lt;&gt;"",F$15&lt;&gt;""),IFERROR(INDEX(PriceChangeData!$C:$C,MATCH($C157&amp;F$15,PriceChangeData!$F:$F,0)),0)+F156,"")</f>
        <v/>
      </c>
      <c r="G157" s="11" t="str">
        <f>IF(AND($C157&lt;&gt;"",G$15&lt;&gt;""),IFERROR(INDEX(PriceChangeData!$C:$C,MATCH($C157&amp;G$15,PriceChangeData!$F:$F,0)),0)+G156,"")</f>
        <v/>
      </c>
      <c r="H157" s="19" t="str">
        <f>IF(AND($C157&lt;&gt;"",H$15&lt;&gt;""),IFERROR(INDEX(PriceChangeData!$C:$C,MATCH($C157&amp;H$15,PriceChangeData!$F:$F,0)),0)+H156,"")</f>
        <v/>
      </c>
    </row>
    <row r="158" spans="3:8" x14ac:dyDescent="0.25">
      <c r="C158" s="18">
        <f t="shared" si="4"/>
        <v>43343</v>
      </c>
      <c r="D158" s="10">
        <f>IF(AND($C158&lt;&gt;"",D$15&lt;&gt;""),IFERROR(INDEX(PriceChangeData!$C:$C,MATCH($C158&amp;D$15,PriceChangeData!$F:$F,0)),0)+D157,"")</f>
        <v>4.5149035774342164E-2</v>
      </c>
      <c r="E158" s="11" t="str">
        <f>IF(AND($C158&lt;&gt;"",E$15&lt;&gt;""),IFERROR(INDEX(PriceChangeData!$C:$C,MATCH($C158&amp;E$15,PriceChangeData!$F:$F,0)),0)+E157,"")</f>
        <v/>
      </c>
      <c r="F158" s="11" t="str">
        <f>IF(AND($C158&lt;&gt;"",F$15&lt;&gt;""),IFERROR(INDEX(PriceChangeData!$C:$C,MATCH($C158&amp;F$15,PriceChangeData!$F:$F,0)),0)+F157,"")</f>
        <v/>
      </c>
      <c r="G158" s="11" t="str">
        <f>IF(AND($C158&lt;&gt;"",G$15&lt;&gt;""),IFERROR(INDEX(PriceChangeData!$C:$C,MATCH($C158&amp;G$15,PriceChangeData!$F:$F,0)),0)+G157,"")</f>
        <v/>
      </c>
      <c r="H158" s="19" t="str">
        <f>IF(AND($C158&lt;&gt;"",H$15&lt;&gt;""),IFERROR(INDEX(PriceChangeData!$C:$C,MATCH($C158&amp;H$15,PriceChangeData!$F:$F,0)),0)+H157,"")</f>
        <v/>
      </c>
    </row>
    <row r="159" spans="3:8" x14ac:dyDescent="0.25">
      <c r="C159" s="18">
        <f t="shared" si="4"/>
        <v>43344</v>
      </c>
      <c r="D159" s="10">
        <f>IF(AND($C159&lt;&gt;"",D$15&lt;&gt;""),IFERROR(INDEX(PriceChangeData!$C:$C,MATCH($C159&amp;D$15,PriceChangeData!$F:$F,0)),0)+D158,"")</f>
        <v>4.5149035774342164E-2</v>
      </c>
      <c r="E159" s="11" t="str">
        <f>IF(AND($C159&lt;&gt;"",E$15&lt;&gt;""),IFERROR(INDEX(PriceChangeData!$C:$C,MATCH($C159&amp;E$15,PriceChangeData!$F:$F,0)),0)+E158,"")</f>
        <v/>
      </c>
      <c r="F159" s="11" t="str">
        <f>IF(AND($C159&lt;&gt;"",F$15&lt;&gt;""),IFERROR(INDEX(PriceChangeData!$C:$C,MATCH($C159&amp;F$15,PriceChangeData!$F:$F,0)),0)+F158,"")</f>
        <v/>
      </c>
      <c r="G159" s="11" t="str">
        <f>IF(AND($C159&lt;&gt;"",G$15&lt;&gt;""),IFERROR(INDEX(PriceChangeData!$C:$C,MATCH($C159&amp;G$15,PriceChangeData!$F:$F,0)),0)+G158,"")</f>
        <v/>
      </c>
      <c r="H159" s="19" t="str">
        <f>IF(AND($C159&lt;&gt;"",H$15&lt;&gt;""),IFERROR(INDEX(PriceChangeData!$C:$C,MATCH($C159&amp;H$15,PriceChangeData!$F:$F,0)),0)+H158,"")</f>
        <v/>
      </c>
    </row>
    <row r="160" spans="3:8" x14ac:dyDescent="0.25">
      <c r="C160" s="18">
        <f t="shared" si="4"/>
        <v>43345</v>
      </c>
      <c r="D160" s="10">
        <f>IF(AND($C160&lt;&gt;"",D$15&lt;&gt;""),IFERROR(INDEX(PriceChangeData!$C:$C,MATCH($C160&amp;D$15,PriceChangeData!$F:$F,0)),0)+D159,"")</f>
        <v>4.5149035774342164E-2</v>
      </c>
      <c r="E160" s="11" t="str">
        <f>IF(AND($C160&lt;&gt;"",E$15&lt;&gt;""),IFERROR(INDEX(PriceChangeData!$C:$C,MATCH($C160&amp;E$15,PriceChangeData!$F:$F,0)),0)+E159,"")</f>
        <v/>
      </c>
      <c r="F160" s="11" t="str">
        <f>IF(AND($C160&lt;&gt;"",F$15&lt;&gt;""),IFERROR(INDEX(PriceChangeData!$C:$C,MATCH($C160&amp;F$15,PriceChangeData!$F:$F,0)),0)+F159,"")</f>
        <v/>
      </c>
      <c r="G160" s="11" t="str">
        <f>IF(AND($C160&lt;&gt;"",G$15&lt;&gt;""),IFERROR(INDEX(PriceChangeData!$C:$C,MATCH($C160&amp;G$15,PriceChangeData!$F:$F,0)),0)+G159,"")</f>
        <v/>
      </c>
      <c r="H160" s="19" t="str">
        <f>IF(AND($C160&lt;&gt;"",H$15&lt;&gt;""),IFERROR(INDEX(PriceChangeData!$C:$C,MATCH($C160&amp;H$15,PriceChangeData!$F:$F,0)),0)+H159,"")</f>
        <v/>
      </c>
    </row>
    <row r="161" spans="3:8" x14ac:dyDescent="0.25">
      <c r="C161" s="18">
        <f t="shared" si="4"/>
        <v>43346</v>
      </c>
      <c r="D161" s="10">
        <f>IF(AND($C161&lt;&gt;"",D$15&lt;&gt;""),IFERROR(INDEX(PriceChangeData!$C:$C,MATCH($C161&amp;D$15,PriceChangeData!$F:$F,0)),0)+D160,"")</f>
        <v>4.5149035774342164E-2</v>
      </c>
      <c r="E161" s="11" t="str">
        <f>IF(AND($C161&lt;&gt;"",E$15&lt;&gt;""),IFERROR(INDEX(PriceChangeData!$C:$C,MATCH($C161&amp;E$15,PriceChangeData!$F:$F,0)),0)+E160,"")</f>
        <v/>
      </c>
      <c r="F161" s="11" t="str">
        <f>IF(AND($C161&lt;&gt;"",F$15&lt;&gt;""),IFERROR(INDEX(PriceChangeData!$C:$C,MATCH($C161&amp;F$15,PriceChangeData!$F:$F,0)),0)+F160,"")</f>
        <v/>
      </c>
      <c r="G161" s="11" t="str">
        <f>IF(AND($C161&lt;&gt;"",G$15&lt;&gt;""),IFERROR(INDEX(PriceChangeData!$C:$C,MATCH($C161&amp;G$15,PriceChangeData!$F:$F,0)),0)+G160,"")</f>
        <v/>
      </c>
      <c r="H161" s="19" t="str">
        <f>IF(AND($C161&lt;&gt;"",H$15&lt;&gt;""),IFERROR(INDEX(PriceChangeData!$C:$C,MATCH($C161&amp;H$15,PriceChangeData!$F:$F,0)),0)+H160,"")</f>
        <v/>
      </c>
    </row>
    <row r="162" spans="3:8" x14ac:dyDescent="0.25">
      <c r="C162" s="18">
        <f t="shared" si="4"/>
        <v>43347</v>
      </c>
      <c r="D162" s="10">
        <f>IF(AND($C162&lt;&gt;"",D$15&lt;&gt;""),IFERROR(INDEX(PriceChangeData!$C:$C,MATCH($C162&amp;D$15,PriceChangeData!$F:$F,0)),0)+D161,"")</f>
        <v>3.0243197484774387E-2</v>
      </c>
      <c r="E162" s="11" t="str">
        <f>IF(AND($C162&lt;&gt;"",E$15&lt;&gt;""),IFERROR(INDEX(PriceChangeData!$C:$C,MATCH($C162&amp;E$15,PriceChangeData!$F:$F,0)),0)+E161,"")</f>
        <v/>
      </c>
      <c r="F162" s="11" t="str">
        <f>IF(AND($C162&lt;&gt;"",F$15&lt;&gt;""),IFERROR(INDEX(PriceChangeData!$C:$C,MATCH($C162&amp;F$15,PriceChangeData!$F:$F,0)),0)+F161,"")</f>
        <v/>
      </c>
      <c r="G162" s="11" t="str">
        <f>IF(AND($C162&lt;&gt;"",G$15&lt;&gt;""),IFERROR(INDEX(PriceChangeData!$C:$C,MATCH($C162&amp;G$15,PriceChangeData!$F:$F,0)),0)+G161,"")</f>
        <v/>
      </c>
      <c r="H162" s="19" t="str">
        <f>IF(AND($C162&lt;&gt;"",H$15&lt;&gt;""),IFERROR(INDEX(PriceChangeData!$C:$C,MATCH($C162&amp;H$15,PriceChangeData!$F:$F,0)),0)+H161,"")</f>
        <v/>
      </c>
    </row>
    <row r="163" spans="3:8" x14ac:dyDescent="0.25">
      <c r="C163" s="18">
        <f t="shared" si="4"/>
        <v>43348</v>
      </c>
      <c r="D163" s="10">
        <f>IF(AND($C163&lt;&gt;"",D$15&lt;&gt;""),IFERROR(INDEX(PriceChangeData!$C:$C,MATCH($C163&amp;D$15,PriceChangeData!$F:$F,0)),0)+D162,"")</f>
        <v>3.6883756321769511E-2</v>
      </c>
      <c r="E163" s="11" t="str">
        <f>IF(AND($C163&lt;&gt;"",E$15&lt;&gt;""),IFERROR(INDEX(PriceChangeData!$C:$C,MATCH($C163&amp;E$15,PriceChangeData!$F:$F,0)),0)+E162,"")</f>
        <v/>
      </c>
      <c r="F163" s="11" t="str">
        <f>IF(AND($C163&lt;&gt;"",F$15&lt;&gt;""),IFERROR(INDEX(PriceChangeData!$C:$C,MATCH($C163&amp;F$15,PriceChangeData!$F:$F,0)),0)+F162,"")</f>
        <v/>
      </c>
      <c r="G163" s="11" t="str">
        <f>IF(AND($C163&lt;&gt;"",G$15&lt;&gt;""),IFERROR(INDEX(PriceChangeData!$C:$C,MATCH($C163&amp;G$15,PriceChangeData!$F:$F,0)),0)+G162,"")</f>
        <v/>
      </c>
      <c r="H163" s="19" t="str">
        <f>IF(AND($C163&lt;&gt;"",H$15&lt;&gt;""),IFERROR(INDEX(PriceChangeData!$C:$C,MATCH($C163&amp;H$15,PriceChangeData!$F:$F,0)),0)+H162,"")</f>
        <v/>
      </c>
    </row>
    <row r="164" spans="3:8" x14ac:dyDescent="0.25">
      <c r="C164" s="18">
        <f t="shared" si="4"/>
        <v>43349</v>
      </c>
      <c r="D164" s="10">
        <f>IF(AND($C164&lt;&gt;"",D$15&lt;&gt;""),IFERROR(INDEX(PriceChangeData!$C:$C,MATCH($C164&amp;D$15,PriceChangeData!$F:$F,0)),0)+D163,"")</f>
        <v>2.1533538444997852E-2</v>
      </c>
      <c r="E164" s="11" t="str">
        <f>IF(AND($C164&lt;&gt;"",E$15&lt;&gt;""),IFERROR(INDEX(PriceChangeData!$C:$C,MATCH($C164&amp;E$15,PriceChangeData!$F:$F,0)),0)+E163,"")</f>
        <v/>
      </c>
      <c r="F164" s="11" t="str">
        <f>IF(AND($C164&lt;&gt;"",F$15&lt;&gt;""),IFERROR(INDEX(PriceChangeData!$C:$C,MATCH($C164&amp;F$15,PriceChangeData!$F:$F,0)),0)+F163,"")</f>
        <v/>
      </c>
      <c r="G164" s="11" t="str">
        <f>IF(AND($C164&lt;&gt;"",G$15&lt;&gt;""),IFERROR(INDEX(PriceChangeData!$C:$C,MATCH($C164&amp;G$15,PriceChangeData!$F:$F,0)),0)+G163,"")</f>
        <v/>
      </c>
      <c r="H164" s="19" t="str">
        <f>IF(AND($C164&lt;&gt;"",H$15&lt;&gt;""),IFERROR(INDEX(PriceChangeData!$C:$C,MATCH($C164&amp;H$15,PriceChangeData!$F:$F,0)),0)+H163,"")</f>
        <v/>
      </c>
    </row>
    <row r="165" spans="3:8" x14ac:dyDescent="0.25">
      <c r="C165" s="18">
        <f t="shared" si="4"/>
        <v>43350</v>
      </c>
      <c r="D165" s="10">
        <f>IF(AND($C165&lt;&gt;"",D$15&lt;&gt;""),IFERROR(INDEX(PriceChangeData!$C:$C,MATCH($C165&amp;D$15,PriceChangeData!$F:$F,0)),0)+D164,"")</f>
        <v>2.6110270259652957E-2</v>
      </c>
      <c r="E165" s="11" t="str">
        <f>IF(AND($C165&lt;&gt;"",E$15&lt;&gt;""),IFERROR(INDEX(PriceChangeData!$C:$C,MATCH($C165&amp;E$15,PriceChangeData!$F:$F,0)),0)+E164,"")</f>
        <v/>
      </c>
      <c r="F165" s="11" t="str">
        <f>IF(AND($C165&lt;&gt;"",F$15&lt;&gt;""),IFERROR(INDEX(PriceChangeData!$C:$C,MATCH($C165&amp;F$15,PriceChangeData!$F:$F,0)),0)+F164,"")</f>
        <v/>
      </c>
      <c r="G165" s="11" t="str">
        <f>IF(AND($C165&lt;&gt;"",G$15&lt;&gt;""),IFERROR(INDEX(PriceChangeData!$C:$C,MATCH($C165&amp;G$15,PriceChangeData!$F:$F,0)),0)+G164,"")</f>
        <v/>
      </c>
      <c r="H165" s="19" t="str">
        <f>IF(AND($C165&lt;&gt;"",H$15&lt;&gt;""),IFERROR(INDEX(PriceChangeData!$C:$C,MATCH($C165&amp;H$15,PriceChangeData!$F:$F,0)),0)+H164,"")</f>
        <v/>
      </c>
    </row>
    <row r="166" spans="3:8" x14ac:dyDescent="0.25">
      <c r="C166" s="18">
        <f t="shared" si="4"/>
        <v>43351</v>
      </c>
      <c r="D166" s="10">
        <f>IF(AND($C166&lt;&gt;"",D$15&lt;&gt;""),IFERROR(INDEX(PriceChangeData!$C:$C,MATCH($C166&amp;D$15,PriceChangeData!$F:$F,0)),0)+D165,"")</f>
        <v>2.6110270259652957E-2</v>
      </c>
      <c r="E166" s="11" t="str">
        <f>IF(AND($C166&lt;&gt;"",E$15&lt;&gt;""),IFERROR(INDEX(PriceChangeData!$C:$C,MATCH($C166&amp;E$15,PriceChangeData!$F:$F,0)),0)+E165,"")</f>
        <v/>
      </c>
      <c r="F166" s="11" t="str">
        <f>IF(AND($C166&lt;&gt;"",F$15&lt;&gt;""),IFERROR(INDEX(PriceChangeData!$C:$C,MATCH($C166&amp;F$15,PriceChangeData!$F:$F,0)),0)+F165,"")</f>
        <v/>
      </c>
      <c r="G166" s="11" t="str">
        <f>IF(AND($C166&lt;&gt;"",G$15&lt;&gt;""),IFERROR(INDEX(PriceChangeData!$C:$C,MATCH($C166&amp;G$15,PriceChangeData!$F:$F,0)),0)+G165,"")</f>
        <v/>
      </c>
      <c r="H166" s="19" t="str">
        <f>IF(AND($C166&lt;&gt;"",H$15&lt;&gt;""),IFERROR(INDEX(PriceChangeData!$C:$C,MATCH($C166&amp;H$15,PriceChangeData!$F:$F,0)),0)+H165,"")</f>
        <v/>
      </c>
    </row>
    <row r="167" spans="3:8" x14ac:dyDescent="0.25">
      <c r="C167" s="18">
        <f t="shared" si="4"/>
        <v>43352</v>
      </c>
      <c r="D167" s="10">
        <f>IF(AND($C167&lt;&gt;"",D$15&lt;&gt;""),IFERROR(INDEX(PriceChangeData!$C:$C,MATCH($C167&amp;D$15,PriceChangeData!$F:$F,0)),0)+D166,"")</f>
        <v>2.6110270259652957E-2</v>
      </c>
      <c r="E167" s="11" t="str">
        <f>IF(AND($C167&lt;&gt;"",E$15&lt;&gt;""),IFERROR(INDEX(PriceChangeData!$C:$C,MATCH($C167&amp;E$15,PriceChangeData!$F:$F,0)),0)+E166,"")</f>
        <v/>
      </c>
      <c r="F167" s="11" t="str">
        <f>IF(AND($C167&lt;&gt;"",F$15&lt;&gt;""),IFERROR(INDEX(PriceChangeData!$C:$C,MATCH($C167&amp;F$15,PriceChangeData!$F:$F,0)),0)+F166,"")</f>
        <v/>
      </c>
      <c r="G167" s="11" t="str">
        <f>IF(AND($C167&lt;&gt;"",G$15&lt;&gt;""),IFERROR(INDEX(PriceChangeData!$C:$C,MATCH($C167&amp;G$15,PriceChangeData!$F:$F,0)),0)+G166,"")</f>
        <v/>
      </c>
      <c r="H167" s="19" t="str">
        <f>IF(AND($C167&lt;&gt;"",H$15&lt;&gt;""),IFERROR(INDEX(PriceChangeData!$C:$C,MATCH($C167&amp;H$15,PriceChangeData!$F:$F,0)),0)+H166,"")</f>
        <v/>
      </c>
    </row>
    <row r="168" spans="3:8" x14ac:dyDescent="0.25">
      <c r="C168" s="18">
        <f t="shared" si="4"/>
        <v>43353</v>
      </c>
      <c r="D168" s="10">
        <f>IF(AND($C168&lt;&gt;"",D$15&lt;&gt;""),IFERROR(INDEX(PriceChangeData!$C:$C,MATCH($C168&amp;D$15,PriceChangeData!$F:$F,0)),0)+D167,"")</f>
        <v>2.2386661669399188E-2</v>
      </c>
      <c r="E168" s="11" t="str">
        <f>IF(AND($C168&lt;&gt;"",E$15&lt;&gt;""),IFERROR(INDEX(PriceChangeData!$C:$C,MATCH($C168&amp;E$15,PriceChangeData!$F:$F,0)),0)+E167,"")</f>
        <v/>
      </c>
      <c r="F168" s="11" t="str">
        <f>IF(AND($C168&lt;&gt;"",F$15&lt;&gt;""),IFERROR(INDEX(PriceChangeData!$C:$C,MATCH($C168&amp;F$15,PriceChangeData!$F:$F,0)),0)+F167,"")</f>
        <v/>
      </c>
      <c r="G168" s="11" t="str">
        <f>IF(AND($C168&lt;&gt;"",G$15&lt;&gt;""),IFERROR(INDEX(PriceChangeData!$C:$C,MATCH($C168&amp;G$15,PriceChangeData!$F:$F,0)),0)+G167,"")</f>
        <v/>
      </c>
      <c r="H168" s="19" t="str">
        <f>IF(AND($C168&lt;&gt;"",H$15&lt;&gt;""),IFERROR(INDEX(PriceChangeData!$C:$C,MATCH($C168&amp;H$15,PriceChangeData!$F:$F,0)),0)+H167,"")</f>
        <v/>
      </c>
    </row>
    <row r="169" spans="3:8" x14ac:dyDescent="0.25">
      <c r="C169" s="18">
        <f t="shared" si="4"/>
        <v>43354</v>
      </c>
      <c r="D169" s="10">
        <f>IF(AND($C169&lt;&gt;"",D$15&lt;&gt;""),IFERROR(INDEX(PriceChangeData!$C:$C,MATCH($C169&amp;D$15,PriceChangeData!$F:$F,0)),0)+D168,"")</f>
        <v>1.5542307563232226E-2</v>
      </c>
      <c r="E169" s="11" t="str">
        <f>IF(AND($C169&lt;&gt;"",E$15&lt;&gt;""),IFERROR(INDEX(PriceChangeData!$C:$C,MATCH($C169&amp;E$15,PriceChangeData!$F:$F,0)),0)+E168,"")</f>
        <v/>
      </c>
      <c r="F169" s="11" t="str">
        <f>IF(AND($C169&lt;&gt;"",F$15&lt;&gt;""),IFERROR(INDEX(PriceChangeData!$C:$C,MATCH($C169&amp;F$15,PriceChangeData!$F:$F,0)),0)+F168,"")</f>
        <v/>
      </c>
      <c r="G169" s="11" t="str">
        <f>IF(AND($C169&lt;&gt;"",G$15&lt;&gt;""),IFERROR(INDEX(PriceChangeData!$C:$C,MATCH($C169&amp;G$15,PriceChangeData!$F:$F,0)),0)+G168,"")</f>
        <v/>
      </c>
      <c r="H169" s="19" t="str">
        <f>IF(AND($C169&lt;&gt;"",H$15&lt;&gt;""),IFERROR(INDEX(PriceChangeData!$C:$C,MATCH($C169&amp;H$15,PriceChangeData!$F:$F,0)),0)+H168,"")</f>
        <v/>
      </c>
    </row>
    <row r="170" spans="3:8" x14ac:dyDescent="0.25">
      <c r="C170" s="18">
        <f t="shared" si="4"/>
        <v>43355</v>
      </c>
      <c r="D170" s="10">
        <f>IF(AND($C170&lt;&gt;"",D$15&lt;&gt;""),IFERROR(INDEX(PriceChangeData!$C:$C,MATCH($C170&amp;D$15,PriceChangeData!$F:$F,0)),0)+D169,"")</f>
        <v>1.6185513693450827E-2</v>
      </c>
      <c r="E170" s="11" t="str">
        <f>IF(AND($C170&lt;&gt;"",E$15&lt;&gt;""),IFERROR(INDEX(PriceChangeData!$C:$C,MATCH($C170&amp;E$15,PriceChangeData!$F:$F,0)),0)+E169,"")</f>
        <v/>
      </c>
      <c r="F170" s="11" t="str">
        <f>IF(AND($C170&lt;&gt;"",F$15&lt;&gt;""),IFERROR(INDEX(PriceChangeData!$C:$C,MATCH($C170&amp;F$15,PriceChangeData!$F:$F,0)),0)+F169,"")</f>
        <v/>
      </c>
      <c r="G170" s="11" t="str">
        <f>IF(AND($C170&lt;&gt;"",G$15&lt;&gt;""),IFERROR(INDEX(PriceChangeData!$C:$C,MATCH($C170&amp;G$15,PriceChangeData!$F:$F,0)),0)+G169,"")</f>
        <v/>
      </c>
      <c r="H170" s="19" t="str">
        <f>IF(AND($C170&lt;&gt;"",H$15&lt;&gt;""),IFERROR(INDEX(PriceChangeData!$C:$C,MATCH($C170&amp;H$15,PriceChangeData!$F:$F,0)),0)+H169,"")</f>
        <v/>
      </c>
    </row>
    <row r="171" spans="3:8" x14ac:dyDescent="0.25">
      <c r="C171" s="18">
        <f t="shared" si="4"/>
        <v>43356</v>
      </c>
      <c r="D171" s="10">
        <f>IF(AND($C171&lt;&gt;"",D$15&lt;&gt;""),IFERROR(INDEX(PriceChangeData!$C:$C,MATCH($C171&amp;D$15,PriceChangeData!$F:$F,0)),0)+D170,"")</f>
        <v>4.878899589246409E-2</v>
      </c>
      <c r="E171" s="11" t="str">
        <f>IF(AND($C171&lt;&gt;"",E$15&lt;&gt;""),IFERROR(INDEX(PriceChangeData!$C:$C,MATCH($C171&amp;E$15,PriceChangeData!$F:$F,0)),0)+E170,"")</f>
        <v/>
      </c>
      <c r="F171" s="11" t="str">
        <f>IF(AND($C171&lt;&gt;"",F$15&lt;&gt;""),IFERROR(INDEX(PriceChangeData!$C:$C,MATCH($C171&amp;F$15,PriceChangeData!$F:$F,0)),0)+F170,"")</f>
        <v/>
      </c>
      <c r="G171" s="11" t="str">
        <f>IF(AND($C171&lt;&gt;"",G$15&lt;&gt;""),IFERROR(INDEX(PriceChangeData!$C:$C,MATCH($C171&amp;G$15,PriceChangeData!$F:$F,0)),0)+G170,"")</f>
        <v/>
      </c>
      <c r="H171" s="19" t="str">
        <f>IF(AND($C171&lt;&gt;"",H$15&lt;&gt;""),IFERROR(INDEX(PriceChangeData!$C:$C,MATCH($C171&amp;H$15,PriceChangeData!$F:$F,0)),0)+H170,"")</f>
        <v/>
      </c>
    </row>
    <row r="172" spans="3:8" x14ac:dyDescent="0.25">
      <c r="C172" s="18">
        <f t="shared" si="4"/>
        <v>43357</v>
      </c>
      <c r="D172" s="10">
        <f>IF(AND($C172&lt;&gt;"",D$15&lt;&gt;""),IFERROR(INDEX(PriceChangeData!$C:$C,MATCH($C172&amp;D$15,PriceChangeData!$F:$F,0)),0)+D171,"")</f>
        <v>4.2017725961724504E-2</v>
      </c>
      <c r="E172" s="11" t="str">
        <f>IF(AND($C172&lt;&gt;"",E$15&lt;&gt;""),IFERROR(INDEX(PriceChangeData!$C:$C,MATCH($C172&amp;E$15,PriceChangeData!$F:$F,0)),0)+E171,"")</f>
        <v/>
      </c>
      <c r="F172" s="11" t="str">
        <f>IF(AND($C172&lt;&gt;"",F$15&lt;&gt;""),IFERROR(INDEX(PriceChangeData!$C:$C,MATCH($C172&amp;F$15,PriceChangeData!$F:$F,0)),0)+F171,"")</f>
        <v/>
      </c>
      <c r="G172" s="11" t="str">
        <f>IF(AND($C172&lt;&gt;"",G$15&lt;&gt;""),IFERROR(INDEX(PriceChangeData!$C:$C,MATCH($C172&amp;G$15,PriceChangeData!$F:$F,0)),0)+G171,"")</f>
        <v/>
      </c>
      <c r="H172" s="19" t="str">
        <f>IF(AND($C172&lt;&gt;"",H$15&lt;&gt;""),IFERROR(INDEX(PriceChangeData!$C:$C,MATCH($C172&amp;H$15,PriceChangeData!$F:$F,0)),0)+H171,"")</f>
        <v/>
      </c>
    </row>
    <row r="173" spans="3:8" x14ac:dyDescent="0.25">
      <c r="C173" s="18">
        <f t="shared" si="4"/>
        <v>43358</v>
      </c>
      <c r="D173" s="10">
        <f>IF(AND($C173&lt;&gt;"",D$15&lt;&gt;""),IFERROR(INDEX(PriceChangeData!$C:$C,MATCH($C173&amp;D$15,PriceChangeData!$F:$F,0)),0)+D172,"")</f>
        <v>4.2017725961724504E-2</v>
      </c>
      <c r="E173" s="11" t="str">
        <f>IF(AND($C173&lt;&gt;"",E$15&lt;&gt;""),IFERROR(INDEX(PriceChangeData!$C:$C,MATCH($C173&amp;E$15,PriceChangeData!$F:$F,0)),0)+E172,"")</f>
        <v/>
      </c>
      <c r="F173" s="11" t="str">
        <f>IF(AND($C173&lt;&gt;"",F$15&lt;&gt;""),IFERROR(INDEX(PriceChangeData!$C:$C,MATCH($C173&amp;F$15,PriceChangeData!$F:$F,0)),0)+F172,"")</f>
        <v/>
      </c>
      <c r="G173" s="11" t="str">
        <f>IF(AND($C173&lt;&gt;"",G$15&lt;&gt;""),IFERROR(INDEX(PriceChangeData!$C:$C,MATCH($C173&amp;G$15,PriceChangeData!$F:$F,0)),0)+G172,"")</f>
        <v/>
      </c>
      <c r="H173" s="19" t="str">
        <f>IF(AND($C173&lt;&gt;"",H$15&lt;&gt;""),IFERROR(INDEX(PriceChangeData!$C:$C,MATCH($C173&amp;H$15,PriceChangeData!$F:$F,0)),0)+H172,"")</f>
        <v/>
      </c>
    </row>
    <row r="174" spans="3:8" x14ac:dyDescent="0.25">
      <c r="C174" s="18">
        <f t="shared" si="4"/>
        <v>43359</v>
      </c>
      <c r="D174" s="10">
        <f>IF(AND($C174&lt;&gt;"",D$15&lt;&gt;""),IFERROR(INDEX(PriceChangeData!$C:$C,MATCH($C174&amp;D$15,PriceChangeData!$F:$F,0)),0)+D173,"")</f>
        <v>4.2017725961724504E-2</v>
      </c>
      <c r="E174" s="11" t="str">
        <f>IF(AND($C174&lt;&gt;"",E$15&lt;&gt;""),IFERROR(INDEX(PriceChangeData!$C:$C,MATCH($C174&amp;E$15,PriceChangeData!$F:$F,0)),0)+E173,"")</f>
        <v/>
      </c>
      <c r="F174" s="11" t="str">
        <f>IF(AND($C174&lt;&gt;"",F$15&lt;&gt;""),IFERROR(INDEX(PriceChangeData!$C:$C,MATCH($C174&amp;F$15,PriceChangeData!$F:$F,0)),0)+F173,"")</f>
        <v/>
      </c>
      <c r="G174" s="11" t="str">
        <f>IF(AND($C174&lt;&gt;"",G$15&lt;&gt;""),IFERROR(INDEX(PriceChangeData!$C:$C,MATCH($C174&amp;G$15,PriceChangeData!$F:$F,0)),0)+G173,"")</f>
        <v/>
      </c>
      <c r="H174" s="19" t="str">
        <f>IF(AND($C174&lt;&gt;"",H$15&lt;&gt;""),IFERROR(INDEX(PriceChangeData!$C:$C,MATCH($C174&amp;H$15,PriceChangeData!$F:$F,0)),0)+H173,"")</f>
        <v/>
      </c>
    </row>
    <row r="175" spans="3:8" x14ac:dyDescent="0.25">
      <c r="C175" s="18">
        <f t="shared" si="4"/>
        <v>43360</v>
      </c>
      <c r="D175" s="10">
        <f>IF(AND($C175&lt;&gt;"",D$15&lt;&gt;""),IFERROR(INDEX(PriceChangeData!$C:$C,MATCH($C175&amp;D$15,PriceChangeData!$F:$F,0)),0)+D174,"")</f>
        <v>3.8772527716533528E-2</v>
      </c>
      <c r="E175" s="11" t="str">
        <f>IF(AND($C175&lt;&gt;"",E$15&lt;&gt;""),IFERROR(INDEX(PriceChangeData!$C:$C,MATCH($C175&amp;E$15,PriceChangeData!$F:$F,0)),0)+E174,"")</f>
        <v/>
      </c>
      <c r="F175" s="11" t="str">
        <f>IF(AND($C175&lt;&gt;"",F$15&lt;&gt;""),IFERROR(INDEX(PriceChangeData!$C:$C,MATCH($C175&amp;F$15,PriceChangeData!$F:$F,0)),0)+F174,"")</f>
        <v/>
      </c>
      <c r="G175" s="11" t="str">
        <f>IF(AND($C175&lt;&gt;"",G$15&lt;&gt;""),IFERROR(INDEX(PriceChangeData!$C:$C,MATCH($C175&amp;G$15,PriceChangeData!$F:$F,0)),0)+G174,"")</f>
        <v/>
      </c>
      <c r="H175" s="19" t="str">
        <f>IF(AND($C175&lt;&gt;"",H$15&lt;&gt;""),IFERROR(INDEX(PriceChangeData!$C:$C,MATCH($C175&amp;H$15,PriceChangeData!$F:$F,0)),0)+H174,"")</f>
        <v/>
      </c>
    </row>
    <row r="176" spans="3:8" x14ac:dyDescent="0.25">
      <c r="C176" s="18">
        <f t="shared" si="4"/>
        <v>43361</v>
      </c>
      <c r="D176" s="10">
        <f>IF(AND($C176&lt;&gt;"",D$15&lt;&gt;""),IFERROR(INDEX(PriceChangeData!$C:$C,MATCH($C176&amp;D$15,PriceChangeData!$F:$F,0)),0)+D175,"")</f>
        <v>9.405602775708094E-3</v>
      </c>
      <c r="E176" s="11" t="str">
        <f>IF(AND($C176&lt;&gt;"",E$15&lt;&gt;""),IFERROR(INDEX(PriceChangeData!$C:$C,MATCH($C176&amp;E$15,PriceChangeData!$F:$F,0)),0)+E175,"")</f>
        <v/>
      </c>
      <c r="F176" s="11" t="str">
        <f>IF(AND($C176&lt;&gt;"",F$15&lt;&gt;""),IFERROR(INDEX(PriceChangeData!$C:$C,MATCH($C176&amp;F$15,PriceChangeData!$F:$F,0)),0)+F175,"")</f>
        <v/>
      </c>
      <c r="G176" s="11" t="str">
        <f>IF(AND($C176&lt;&gt;"",G$15&lt;&gt;""),IFERROR(INDEX(PriceChangeData!$C:$C,MATCH($C176&amp;G$15,PriceChangeData!$F:$F,0)),0)+G175,"")</f>
        <v/>
      </c>
      <c r="H176" s="19" t="str">
        <f>IF(AND($C176&lt;&gt;"",H$15&lt;&gt;""),IFERROR(INDEX(PriceChangeData!$C:$C,MATCH($C176&amp;H$15,PriceChangeData!$F:$F,0)),0)+H175,"")</f>
        <v/>
      </c>
    </row>
    <row r="177" spans="3:8" x14ac:dyDescent="0.25">
      <c r="C177" s="18">
        <f t="shared" si="4"/>
        <v>43362</v>
      </c>
      <c r="D177" s="10">
        <f>IF(AND($C177&lt;&gt;"",D$15&lt;&gt;""),IFERROR(INDEX(PriceChangeData!$C:$C,MATCH($C177&amp;D$15,PriceChangeData!$F:$F,0)),0)+D176,"")</f>
        <v>-7.9121449361969111E-3</v>
      </c>
      <c r="E177" s="11" t="str">
        <f>IF(AND($C177&lt;&gt;"",E$15&lt;&gt;""),IFERROR(INDEX(PriceChangeData!$C:$C,MATCH($C177&amp;E$15,PriceChangeData!$F:$F,0)),0)+E176,"")</f>
        <v/>
      </c>
      <c r="F177" s="11" t="str">
        <f>IF(AND($C177&lt;&gt;"",F$15&lt;&gt;""),IFERROR(INDEX(PriceChangeData!$C:$C,MATCH($C177&amp;F$15,PriceChangeData!$F:$F,0)),0)+F176,"")</f>
        <v/>
      </c>
      <c r="G177" s="11" t="str">
        <f>IF(AND($C177&lt;&gt;"",G$15&lt;&gt;""),IFERROR(INDEX(PriceChangeData!$C:$C,MATCH($C177&amp;G$15,PriceChangeData!$F:$F,0)),0)+G176,"")</f>
        <v/>
      </c>
      <c r="H177" s="19" t="str">
        <f>IF(AND($C177&lt;&gt;"",H$15&lt;&gt;""),IFERROR(INDEX(PriceChangeData!$C:$C,MATCH($C177&amp;H$15,PriceChangeData!$F:$F,0)),0)+H176,"")</f>
        <v/>
      </c>
    </row>
    <row r="178" spans="3:8" x14ac:dyDescent="0.25">
      <c r="C178" s="18">
        <f t="shared" si="4"/>
        <v>43363</v>
      </c>
      <c r="D178" s="10">
        <f>IF(AND($C178&lt;&gt;"",D$15&lt;&gt;""),IFERROR(INDEX(PriceChangeData!$C:$C,MATCH($C178&amp;D$15,PriceChangeData!$F:$F,0)),0)+D177,"")</f>
        <v>1.0160954878570452E-2</v>
      </c>
      <c r="E178" s="11" t="str">
        <f>IF(AND($C178&lt;&gt;"",E$15&lt;&gt;""),IFERROR(INDEX(PriceChangeData!$C:$C,MATCH($C178&amp;E$15,PriceChangeData!$F:$F,0)),0)+E177,"")</f>
        <v/>
      </c>
      <c r="F178" s="11" t="str">
        <f>IF(AND($C178&lt;&gt;"",F$15&lt;&gt;""),IFERROR(INDEX(PriceChangeData!$C:$C,MATCH($C178&amp;F$15,PriceChangeData!$F:$F,0)),0)+F177,"")</f>
        <v/>
      </c>
      <c r="G178" s="11" t="str">
        <f>IF(AND($C178&lt;&gt;"",G$15&lt;&gt;""),IFERROR(INDEX(PriceChangeData!$C:$C,MATCH($C178&amp;G$15,PriceChangeData!$F:$F,0)),0)+G177,"")</f>
        <v/>
      </c>
      <c r="H178" s="19" t="str">
        <f>IF(AND($C178&lt;&gt;"",H$15&lt;&gt;""),IFERROR(INDEX(PriceChangeData!$C:$C,MATCH($C178&amp;H$15,PriceChangeData!$F:$F,0)),0)+H177,"")</f>
        <v/>
      </c>
    </row>
    <row r="179" spans="3:8" x14ac:dyDescent="0.25">
      <c r="C179" s="18">
        <f t="shared" si="4"/>
        <v>43364</v>
      </c>
      <c r="D179" s="10">
        <f>IF(AND($C179&lt;&gt;"",D$15&lt;&gt;""),IFERROR(INDEX(PriceChangeData!$C:$C,MATCH($C179&amp;D$15,PriceChangeData!$F:$F,0)),0)+D178,"")</f>
        <v>5.6191512086379829E-3</v>
      </c>
      <c r="E179" s="11" t="str">
        <f>IF(AND($C179&lt;&gt;"",E$15&lt;&gt;""),IFERROR(INDEX(PriceChangeData!$C:$C,MATCH($C179&amp;E$15,PriceChangeData!$F:$F,0)),0)+E178,"")</f>
        <v/>
      </c>
      <c r="F179" s="11" t="str">
        <f>IF(AND($C179&lt;&gt;"",F$15&lt;&gt;""),IFERROR(INDEX(PriceChangeData!$C:$C,MATCH($C179&amp;F$15,PriceChangeData!$F:$F,0)),0)+F178,"")</f>
        <v/>
      </c>
      <c r="G179" s="11" t="str">
        <f>IF(AND($C179&lt;&gt;"",G$15&lt;&gt;""),IFERROR(INDEX(PriceChangeData!$C:$C,MATCH($C179&amp;G$15,PriceChangeData!$F:$F,0)),0)+G178,"")</f>
        <v/>
      </c>
      <c r="H179" s="19" t="str">
        <f>IF(AND($C179&lt;&gt;"",H$15&lt;&gt;""),IFERROR(INDEX(PriceChangeData!$C:$C,MATCH($C179&amp;H$15,PriceChangeData!$F:$F,0)),0)+H178,"")</f>
        <v/>
      </c>
    </row>
    <row r="180" spans="3:8" x14ac:dyDescent="0.25">
      <c r="C180" s="18">
        <f t="shared" si="4"/>
        <v>43365</v>
      </c>
      <c r="D180" s="10">
        <f>IF(AND($C180&lt;&gt;"",D$15&lt;&gt;""),IFERROR(INDEX(PriceChangeData!$C:$C,MATCH($C180&amp;D$15,PriceChangeData!$F:$F,0)),0)+D179,"")</f>
        <v>5.6191512086379829E-3</v>
      </c>
      <c r="E180" s="11" t="str">
        <f>IF(AND($C180&lt;&gt;"",E$15&lt;&gt;""),IFERROR(INDEX(PriceChangeData!$C:$C,MATCH($C180&amp;E$15,PriceChangeData!$F:$F,0)),0)+E179,"")</f>
        <v/>
      </c>
      <c r="F180" s="11" t="str">
        <f>IF(AND($C180&lt;&gt;"",F$15&lt;&gt;""),IFERROR(INDEX(PriceChangeData!$C:$C,MATCH($C180&amp;F$15,PriceChangeData!$F:$F,0)),0)+F179,"")</f>
        <v/>
      </c>
      <c r="G180" s="11" t="str">
        <f>IF(AND($C180&lt;&gt;"",G$15&lt;&gt;""),IFERROR(INDEX(PriceChangeData!$C:$C,MATCH($C180&amp;G$15,PriceChangeData!$F:$F,0)),0)+G179,"")</f>
        <v/>
      </c>
      <c r="H180" s="19" t="str">
        <f>IF(AND($C180&lt;&gt;"",H$15&lt;&gt;""),IFERROR(INDEX(PriceChangeData!$C:$C,MATCH($C180&amp;H$15,PriceChangeData!$F:$F,0)),0)+H179,"")</f>
        <v/>
      </c>
    </row>
    <row r="181" spans="3:8" x14ac:dyDescent="0.25">
      <c r="C181" s="18">
        <f t="shared" si="4"/>
        <v>43366</v>
      </c>
      <c r="D181" s="10">
        <f>IF(AND($C181&lt;&gt;"",D$15&lt;&gt;""),IFERROR(INDEX(PriceChangeData!$C:$C,MATCH($C181&amp;D$15,PriceChangeData!$F:$F,0)),0)+D180,"")</f>
        <v>5.6191512086379829E-3</v>
      </c>
      <c r="E181" s="11" t="str">
        <f>IF(AND($C181&lt;&gt;"",E$15&lt;&gt;""),IFERROR(INDEX(PriceChangeData!$C:$C,MATCH($C181&amp;E$15,PriceChangeData!$F:$F,0)),0)+E180,"")</f>
        <v/>
      </c>
      <c r="F181" s="11" t="str">
        <f>IF(AND($C181&lt;&gt;"",F$15&lt;&gt;""),IFERROR(INDEX(PriceChangeData!$C:$C,MATCH($C181&amp;F$15,PriceChangeData!$F:$F,0)),0)+F180,"")</f>
        <v/>
      </c>
      <c r="G181" s="11" t="str">
        <f>IF(AND($C181&lt;&gt;"",G$15&lt;&gt;""),IFERROR(INDEX(PriceChangeData!$C:$C,MATCH($C181&amp;G$15,PriceChangeData!$F:$F,0)),0)+G180,"")</f>
        <v/>
      </c>
      <c r="H181" s="19" t="str">
        <f>IF(AND($C181&lt;&gt;"",H$15&lt;&gt;""),IFERROR(INDEX(PriceChangeData!$C:$C,MATCH($C181&amp;H$15,PriceChangeData!$F:$F,0)),0)+H180,"")</f>
        <v/>
      </c>
    </row>
    <row r="182" spans="3:8" x14ac:dyDescent="0.25">
      <c r="C182" s="18">
        <f t="shared" si="4"/>
        <v>43367</v>
      </c>
      <c r="D182" s="10">
        <f>IF(AND($C182&lt;&gt;"",D$15&lt;&gt;""),IFERROR(INDEX(PriceChangeData!$C:$C,MATCH($C182&amp;D$15,PriceChangeData!$F:$F,0)),0)+D181,"")</f>
        <v>1.8113748673869768E-2</v>
      </c>
      <c r="E182" s="11" t="str">
        <f>IF(AND($C182&lt;&gt;"",E$15&lt;&gt;""),IFERROR(INDEX(PriceChangeData!$C:$C,MATCH($C182&amp;E$15,PriceChangeData!$F:$F,0)),0)+E181,"")</f>
        <v/>
      </c>
      <c r="F182" s="11" t="str">
        <f>IF(AND($C182&lt;&gt;"",F$15&lt;&gt;""),IFERROR(INDEX(PriceChangeData!$C:$C,MATCH($C182&amp;F$15,PriceChangeData!$F:$F,0)),0)+F181,"")</f>
        <v/>
      </c>
      <c r="G182" s="11" t="str">
        <f>IF(AND($C182&lt;&gt;"",G$15&lt;&gt;""),IFERROR(INDEX(PriceChangeData!$C:$C,MATCH($C182&amp;G$15,PriceChangeData!$F:$F,0)),0)+G181,"")</f>
        <v/>
      </c>
      <c r="H182" s="19" t="str">
        <f>IF(AND($C182&lt;&gt;"",H$15&lt;&gt;""),IFERROR(INDEX(PriceChangeData!$C:$C,MATCH($C182&amp;H$15,PriceChangeData!$F:$F,0)),0)+H181,"")</f>
        <v/>
      </c>
    </row>
    <row r="183" spans="3:8" x14ac:dyDescent="0.25">
      <c r="C183" s="18">
        <f t="shared" si="4"/>
        <v>43368</v>
      </c>
      <c r="D183" s="10">
        <f>IF(AND($C183&lt;&gt;"",D$15&lt;&gt;""),IFERROR(INDEX(PriceChangeData!$C:$C,MATCH($C183&amp;D$15,PriceChangeData!$F:$F,0)),0)+D182,"")</f>
        <v>2.1960191034600354E-2</v>
      </c>
      <c r="E183" s="11" t="str">
        <f>IF(AND($C183&lt;&gt;"",E$15&lt;&gt;""),IFERROR(INDEX(PriceChangeData!$C:$C,MATCH($C183&amp;E$15,PriceChangeData!$F:$F,0)),0)+E182,"")</f>
        <v/>
      </c>
      <c r="F183" s="11" t="str">
        <f>IF(AND($C183&lt;&gt;"",F$15&lt;&gt;""),IFERROR(INDEX(PriceChangeData!$C:$C,MATCH($C183&amp;F$15,PriceChangeData!$F:$F,0)),0)+F182,"")</f>
        <v/>
      </c>
      <c r="G183" s="11" t="str">
        <f>IF(AND($C183&lt;&gt;"",G$15&lt;&gt;""),IFERROR(INDEX(PriceChangeData!$C:$C,MATCH($C183&amp;G$15,PriceChangeData!$F:$F,0)),0)+G182,"")</f>
        <v/>
      </c>
      <c r="H183" s="19" t="str">
        <f>IF(AND($C183&lt;&gt;"",H$15&lt;&gt;""),IFERROR(INDEX(PriceChangeData!$C:$C,MATCH($C183&amp;H$15,PriceChangeData!$F:$F,0)),0)+H182,"")</f>
        <v/>
      </c>
    </row>
    <row r="184" spans="3:8" x14ac:dyDescent="0.25">
      <c r="C184" s="18">
        <f t="shared" si="4"/>
        <v>43369</v>
      </c>
      <c r="D184" s="10">
        <f>IF(AND($C184&lt;&gt;"",D$15&lt;&gt;""),IFERROR(INDEX(PriceChangeData!$C:$C,MATCH($C184&amp;D$15,PriceChangeData!$F:$F,0)),0)+D183,"")</f>
        <v>2.6216734947697985E-2</v>
      </c>
      <c r="E184" s="11" t="str">
        <f>IF(AND($C184&lt;&gt;"",E$15&lt;&gt;""),IFERROR(INDEX(PriceChangeData!$C:$C,MATCH($C184&amp;E$15,PriceChangeData!$F:$F,0)),0)+E183,"")</f>
        <v/>
      </c>
      <c r="F184" s="11" t="str">
        <f>IF(AND($C184&lt;&gt;"",F$15&lt;&gt;""),IFERROR(INDEX(PriceChangeData!$C:$C,MATCH($C184&amp;F$15,PriceChangeData!$F:$F,0)),0)+F183,"")</f>
        <v/>
      </c>
      <c r="G184" s="11" t="str">
        <f>IF(AND($C184&lt;&gt;"",G$15&lt;&gt;""),IFERROR(INDEX(PriceChangeData!$C:$C,MATCH($C184&amp;G$15,PriceChangeData!$F:$F,0)),0)+G183,"")</f>
        <v/>
      </c>
      <c r="H184" s="19" t="str">
        <f>IF(AND($C184&lt;&gt;"",H$15&lt;&gt;""),IFERROR(INDEX(PriceChangeData!$C:$C,MATCH($C184&amp;H$15,PriceChangeData!$F:$F,0)),0)+H183,"")</f>
        <v/>
      </c>
    </row>
    <row r="185" spans="3:8" x14ac:dyDescent="0.25">
      <c r="C185" s="18">
        <f t="shared" si="4"/>
        <v>43370</v>
      </c>
      <c r="D185" s="10">
        <f>IF(AND($C185&lt;&gt;"",D$15&lt;&gt;""),IFERROR(INDEX(PriceChangeData!$C:$C,MATCH($C185&amp;D$15,PriceChangeData!$F:$F,0)),0)+D184,"")</f>
        <v>2.5791894948979165E-2</v>
      </c>
      <c r="E185" s="11" t="str">
        <f>IF(AND($C185&lt;&gt;"",E$15&lt;&gt;""),IFERROR(INDEX(PriceChangeData!$C:$C,MATCH($C185&amp;E$15,PriceChangeData!$F:$F,0)),0)+E184,"")</f>
        <v/>
      </c>
      <c r="F185" s="11" t="str">
        <f>IF(AND($C185&lt;&gt;"",F$15&lt;&gt;""),IFERROR(INDEX(PriceChangeData!$C:$C,MATCH($C185&amp;F$15,PriceChangeData!$F:$F,0)),0)+F184,"")</f>
        <v/>
      </c>
      <c r="G185" s="11" t="str">
        <f>IF(AND($C185&lt;&gt;"",G$15&lt;&gt;""),IFERROR(INDEX(PriceChangeData!$C:$C,MATCH($C185&amp;G$15,PriceChangeData!$F:$F,0)),0)+G184,"")</f>
        <v/>
      </c>
      <c r="H185" s="19" t="str">
        <f>IF(AND($C185&lt;&gt;"",H$15&lt;&gt;""),IFERROR(INDEX(PriceChangeData!$C:$C,MATCH($C185&amp;H$15,PriceChangeData!$F:$F,0)),0)+H184,"")</f>
        <v/>
      </c>
    </row>
    <row r="186" spans="3:8" x14ac:dyDescent="0.25">
      <c r="C186" s="18">
        <f t="shared" si="4"/>
        <v>43371</v>
      </c>
      <c r="D186" s="10">
        <f>IF(AND($C186&lt;&gt;"",D$15&lt;&gt;""),IFERROR(INDEX(PriceChangeData!$C:$C,MATCH($C186&amp;D$15,PriceChangeData!$F:$F,0)),0)+D185,"")</f>
        <v>3.0455237461595223E-2</v>
      </c>
      <c r="E186" s="11" t="str">
        <f>IF(AND($C186&lt;&gt;"",E$15&lt;&gt;""),IFERROR(INDEX(PriceChangeData!$C:$C,MATCH($C186&amp;E$15,PriceChangeData!$F:$F,0)),0)+E185,"")</f>
        <v/>
      </c>
      <c r="F186" s="11" t="str">
        <f>IF(AND($C186&lt;&gt;"",F$15&lt;&gt;""),IFERROR(INDEX(PriceChangeData!$C:$C,MATCH($C186&amp;F$15,PriceChangeData!$F:$F,0)),0)+F185,"")</f>
        <v/>
      </c>
      <c r="G186" s="11" t="str">
        <f>IF(AND($C186&lt;&gt;"",G$15&lt;&gt;""),IFERROR(INDEX(PriceChangeData!$C:$C,MATCH($C186&amp;G$15,PriceChangeData!$F:$F,0)),0)+G185,"")</f>
        <v/>
      </c>
      <c r="H186" s="19" t="str">
        <f>IF(AND($C186&lt;&gt;"",H$15&lt;&gt;""),IFERROR(INDEX(PriceChangeData!$C:$C,MATCH($C186&amp;H$15,PriceChangeData!$F:$F,0)),0)+H185,"")</f>
        <v/>
      </c>
    </row>
    <row r="187" spans="3:8" x14ac:dyDescent="0.25">
      <c r="C187" s="18">
        <f t="shared" si="4"/>
        <v>43372</v>
      </c>
      <c r="D187" s="10">
        <f>IF(AND($C187&lt;&gt;"",D$15&lt;&gt;""),IFERROR(INDEX(PriceChangeData!$C:$C,MATCH($C187&amp;D$15,PriceChangeData!$F:$F,0)),0)+D186,"")</f>
        <v>3.0455237461595223E-2</v>
      </c>
      <c r="E187" s="11" t="str">
        <f>IF(AND($C187&lt;&gt;"",E$15&lt;&gt;""),IFERROR(INDEX(PriceChangeData!$C:$C,MATCH($C187&amp;E$15,PriceChangeData!$F:$F,0)),0)+E186,"")</f>
        <v/>
      </c>
      <c r="F187" s="11" t="str">
        <f>IF(AND($C187&lt;&gt;"",F$15&lt;&gt;""),IFERROR(INDEX(PriceChangeData!$C:$C,MATCH($C187&amp;F$15,PriceChangeData!$F:$F,0)),0)+F186,"")</f>
        <v/>
      </c>
      <c r="G187" s="11" t="str">
        <f>IF(AND($C187&lt;&gt;"",G$15&lt;&gt;""),IFERROR(INDEX(PriceChangeData!$C:$C,MATCH($C187&amp;G$15,PriceChangeData!$F:$F,0)),0)+G186,"")</f>
        <v/>
      </c>
      <c r="H187" s="19" t="str">
        <f>IF(AND($C187&lt;&gt;"",H$15&lt;&gt;""),IFERROR(INDEX(PriceChangeData!$C:$C,MATCH($C187&amp;H$15,PriceChangeData!$F:$F,0)),0)+H186,"")</f>
        <v/>
      </c>
    </row>
    <row r="188" spans="3:8" x14ac:dyDescent="0.25">
      <c r="C188" s="18">
        <f t="shared" si="4"/>
        <v>43373</v>
      </c>
      <c r="D188" s="10">
        <f>IF(AND($C188&lt;&gt;"",D$15&lt;&gt;""),IFERROR(INDEX(PriceChangeData!$C:$C,MATCH($C188&amp;D$15,PriceChangeData!$F:$F,0)),0)+D187,"")</f>
        <v>3.0455237461595223E-2</v>
      </c>
      <c r="E188" s="11" t="str">
        <f>IF(AND($C188&lt;&gt;"",E$15&lt;&gt;""),IFERROR(INDEX(PriceChangeData!$C:$C,MATCH($C188&amp;E$15,PriceChangeData!$F:$F,0)),0)+E187,"")</f>
        <v/>
      </c>
      <c r="F188" s="11" t="str">
        <f>IF(AND($C188&lt;&gt;"",F$15&lt;&gt;""),IFERROR(INDEX(PriceChangeData!$C:$C,MATCH($C188&amp;F$15,PriceChangeData!$F:$F,0)),0)+F187,"")</f>
        <v/>
      </c>
      <c r="G188" s="11" t="str">
        <f>IF(AND($C188&lt;&gt;"",G$15&lt;&gt;""),IFERROR(INDEX(PriceChangeData!$C:$C,MATCH($C188&amp;G$15,PriceChangeData!$F:$F,0)),0)+G187,"")</f>
        <v/>
      </c>
      <c r="H188" s="19" t="str">
        <f>IF(AND($C188&lt;&gt;"",H$15&lt;&gt;""),IFERROR(INDEX(PriceChangeData!$C:$C,MATCH($C188&amp;H$15,PriceChangeData!$F:$F,0)),0)+H187,"")</f>
        <v/>
      </c>
    </row>
    <row r="189" spans="3:8" x14ac:dyDescent="0.25">
      <c r="C189" s="18">
        <f t="shared" si="4"/>
        <v>43374</v>
      </c>
      <c r="D189" s="10">
        <f>IF(AND($C189&lt;&gt;"",D$15&lt;&gt;""),IFERROR(INDEX(PriceChangeData!$C:$C,MATCH($C189&amp;D$15,PriceChangeData!$F:$F,0)),0)+D188,"")</f>
        <v>3.4885876185190262E-2</v>
      </c>
      <c r="E189" s="11" t="str">
        <f>IF(AND($C189&lt;&gt;"",E$15&lt;&gt;""),IFERROR(INDEX(PriceChangeData!$C:$C,MATCH($C189&amp;E$15,PriceChangeData!$F:$F,0)),0)+E188,"")</f>
        <v/>
      </c>
      <c r="F189" s="11" t="str">
        <f>IF(AND($C189&lt;&gt;"",F$15&lt;&gt;""),IFERROR(INDEX(PriceChangeData!$C:$C,MATCH($C189&amp;F$15,PriceChangeData!$F:$F,0)),0)+F188,"")</f>
        <v/>
      </c>
      <c r="G189" s="11" t="str">
        <f>IF(AND($C189&lt;&gt;"",G$15&lt;&gt;""),IFERROR(INDEX(PriceChangeData!$C:$C,MATCH($C189&amp;G$15,PriceChangeData!$F:$F,0)),0)+G188,"")</f>
        <v/>
      </c>
      <c r="H189" s="19" t="str">
        <f>IF(AND($C189&lt;&gt;"",H$15&lt;&gt;""),IFERROR(INDEX(PriceChangeData!$C:$C,MATCH($C189&amp;H$15,PriceChangeData!$F:$F,0)),0)+H188,"")</f>
        <v/>
      </c>
    </row>
    <row r="190" spans="3:8" x14ac:dyDescent="0.25">
      <c r="C190" s="18">
        <f t="shared" si="4"/>
        <v>43375</v>
      </c>
      <c r="D190" s="10">
        <f>IF(AND($C190&lt;&gt;"",D$15&lt;&gt;""),IFERROR(INDEX(PriceChangeData!$C:$C,MATCH($C190&amp;D$15,PriceChangeData!$F:$F,0)),0)+D189,"")</f>
        <v>2.6747802694122174E-2</v>
      </c>
      <c r="E190" s="11" t="str">
        <f>IF(AND($C190&lt;&gt;"",E$15&lt;&gt;""),IFERROR(INDEX(PriceChangeData!$C:$C,MATCH($C190&amp;E$15,PriceChangeData!$F:$F,0)),0)+E189,"")</f>
        <v/>
      </c>
      <c r="F190" s="11" t="str">
        <f>IF(AND($C190&lt;&gt;"",F$15&lt;&gt;""),IFERROR(INDEX(PriceChangeData!$C:$C,MATCH($C190&amp;F$15,PriceChangeData!$F:$F,0)),0)+F189,"")</f>
        <v/>
      </c>
      <c r="G190" s="11" t="str">
        <f>IF(AND($C190&lt;&gt;"",G$15&lt;&gt;""),IFERROR(INDEX(PriceChangeData!$C:$C,MATCH($C190&amp;G$15,PriceChangeData!$F:$F,0)),0)+G189,"")</f>
        <v/>
      </c>
      <c r="H190" s="19" t="str">
        <f>IF(AND($C190&lt;&gt;"",H$15&lt;&gt;""),IFERROR(INDEX(PriceChangeData!$C:$C,MATCH($C190&amp;H$15,PriceChangeData!$F:$F,0)),0)+H189,"")</f>
        <v/>
      </c>
    </row>
    <row r="191" spans="3:8" x14ac:dyDescent="0.25">
      <c r="C191" s="18">
        <f t="shared" si="4"/>
        <v>43376</v>
      </c>
      <c r="D191" s="10">
        <f>IF(AND($C191&lt;&gt;"",D$15&lt;&gt;""),IFERROR(INDEX(PriceChangeData!$C:$C,MATCH($C191&amp;D$15,PriceChangeData!$F:$F,0)),0)+D190,"")</f>
        <v>4.5461308466608161E-2</v>
      </c>
      <c r="E191" s="11" t="str">
        <f>IF(AND($C191&lt;&gt;"",E$15&lt;&gt;""),IFERROR(INDEX(PriceChangeData!$C:$C,MATCH($C191&amp;E$15,PriceChangeData!$F:$F,0)),0)+E190,"")</f>
        <v/>
      </c>
      <c r="F191" s="11" t="str">
        <f>IF(AND($C191&lt;&gt;"",F$15&lt;&gt;""),IFERROR(INDEX(PriceChangeData!$C:$C,MATCH($C191&amp;F$15,PriceChangeData!$F:$F,0)),0)+F190,"")</f>
        <v/>
      </c>
      <c r="G191" s="11" t="str">
        <f>IF(AND($C191&lt;&gt;"",G$15&lt;&gt;""),IFERROR(INDEX(PriceChangeData!$C:$C,MATCH($C191&amp;G$15,PriceChangeData!$F:$F,0)),0)+G190,"")</f>
        <v/>
      </c>
      <c r="H191" s="19" t="str">
        <f>IF(AND($C191&lt;&gt;"",H$15&lt;&gt;""),IFERROR(INDEX(PriceChangeData!$C:$C,MATCH($C191&amp;H$15,PriceChangeData!$F:$F,0)),0)+H190,"")</f>
        <v/>
      </c>
    </row>
    <row r="192" spans="3:8" x14ac:dyDescent="0.25">
      <c r="C192" s="18">
        <f t="shared" si="4"/>
        <v>43377</v>
      </c>
      <c r="D192" s="10">
        <f>IF(AND($C192&lt;&gt;"",D$15&lt;&gt;""),IFERROR(INDEX(PriceChangeData!$C:$C,MATCH($C192&amp;D$15,PriceChangeData!$F:$F,0)),0)+D191,"")</f>
        <v>2.2600373928464416E-2</v>
      </c>
      <c r="E192" s="11" t="str">
        <f>IF(AND($C192&lt;&gt;"",E$15&lt;&gt;""),IFERROR(INDEX(PriceChangeData!$C:$C,MATCH($C192&amp;E$15,PriceChangeData!$F:$F,0)),0)+E191,"")</f>
        <v/>
      </c>
      <c r="F192" s="11" t="str">
        <f>IF(AND($C192&lt;&gt;"",F$15&lt;&gt;""),IFERROR(INDEX(PriceChangeData!$C:$C,MATCH($C192&amp;F$15,PriceChangeData!$F:$F,0)),0)+F191,"")</f>
        <v/>
      </c>
      <c r="G192" s="11" t="str">
        <f>IF(AND($C192&lt;&gt;"",G$15&lt;&gt;""),IFERROR(INDEX(PriceChangeData!$C:$C,MATCH($C192&amp;G$15,PriceChangeData!$F:$F,0)),0)+G191,"")</f>
        <v/>
      </c>
      <c r="H192" s="19" t="str">
        <f>IF(AND($C192&lt;&gt;"",H$15&lt;&gt;""),IFERROR(INDEX(PriceChangeData!$C:$C,MATCH($C192&amp;H$15,PriceChangeData!$F:$F,0)),0)+H191,"")</f>
        <v/>
      </c>
    </row>
    <row r="193" spans="3:8" x14ac:dyDescent="0.25">
      <c r="C193" s="18">
        <f t="shared" si="4"/>
        <v>43378</v>
      </c>
      <c r="D193" s="10">
        <f>IF(AND($C193&lt;&gt;"",D$15&lt;&gt;""),IFERROR(INDEX(PriceChangeData!$C:$C,MATCH($C193&amp;D$15,PriceChangeData!$F:$F,0)),0)+D192,"")</f>
        <v>2.8338231815910785E-2</v>
      </c>
      <c r="E193" s="11" t="str">
        <f>IF(AND($C193&lt;&gt;"",E$15&lt;&gt;""),IFERROR(INDEX(PriceChangeData!$C:$C,MATCH($C193&amp;E$15,PriceChangeData!$F:$F,0)),0)+E192,"")</f>
        <v/>
      </c>
      <c r="F193" s="11" t="str">
        <f>IF(AND($C193&lt;&gt;"",F$15&lt;&gt;""),IFERROR(INDEX(PriceChangeData!$C:$C,MATCH($C193&amp;F$15,PriceChangeData!$F:$F,0)),0)+F192,"")</f>
        <v/>
      </c>
      <c r="G193" s="11" t="str">
        <f>IF(AND($C193&lt;&gt;"",G$15&lt;&gt;""),IFERROR(INDEX(PriceChangeData!$C:$C,MATCH($C193&amp;G$15,PriceChangeData!$F:$F,0)),0)+G192,"")</f>
        <v/>
      </c>
      <c r="H193" s="19" t="str">
        <f>IF(AND($C193&lt;&gt;"",H$15&lt;&gt;""),IFERROR(INDEX(PriceChangeData!$C:$C,MATCH($C193&amp;H$15,PriceChangeData!$F:$F,0)),0)+H192,"")</f>
        <v/>
      </c>
    </row>
    <row r="194" spans="3:8" x14ac:dyDescent="0.25">
      <c r="C194" s="18">
        <f t="shared" si="4"/>
        <v>43379</v>
      </c>
      <c r="D194" s="10">
        <f>IF(AND($C194&lt;&gt;"",D$15&lt;&gt;""),IFERROR(INDEX(PriceChangeData!$C:$C,MATCH($C194&amp;D$15,PriceChangeData!$F:$F,0)),0)+D193,"")</f>
        <v>2.8338231815910785E-2</v>
      </c>
      <c r="E194" s="11" t="str">
        <f>IF(AND($C194&lt;&gt;"",E$15&lt;&gt;""),IFERROR(INDEX(PriceChangeData!$C:$C,MATCH($C194&amp;E$15,PriceChangeData!$F:$F,0)),0)+E193,"")</f>
        <v/>
      </c>
      <c r="F194" s="11" t="str">
        <f>IF(AND($C194&lt;&gt;"",F$15&lt;&gt;""),IFERROR(INDEX(PriceChangeData!$C:$C,MATCH($C194&amp;F$15,PriceChangeData!$F:$F,0)),0)+F193,"")</f>
        <v/>
      </c>
      <c r="G194" s="11" t="str">
        <f>IF(AND($C194&lt;&gt;"",G$15&lt;&gt;""),IFERROR(INDEX(PriceChangeData!$C:$C,MATCH($C194&amp;G$15,PriceChangeData!$F:$F,0)),0)+G193,"")</f>
        <v/>
      </c>
      <c r="H194" s="19" t="str">
        <f>IF(AND($C194&lt;&gt;"",H$15&lt;&gt;""),IFERROR(INDEX(PriceChangeData!$C:$C,MATCH($C194&amp;H$15,PriceChangeData!$F:$F,0)),0)+H193,"")</f>
        <v/>
      </c>
    </row>
    <row r="195" spans="3:8" x14ac:dyDescent="0.25">
      <c r="C195" s="18">
        <f t="shared" si="4"/>
        <v>43380</v>
      </c>
      <c r="D195" s="10">
        <f>IF(AND($C195&lt;&gt;"",D$15&lt;&gt;""),IFERROR(INDEX(PriceChangeData!$C:$C,MATCH($C195&amp;D$15,PriceChangeData!$F:$F,0)),0)+D194,"")</f>
        <v>2.8338231815910785E-2</v>
      </c>
      <c r="E195" s="11" t="str">
        <f>IF(AND($C195&lt;&gt;"",E$15&lt;&gt;""),IFERROR(INDEX(PriceChangeData!$C:$C,MATCH($C195&amp;E$15,PriceChangeData!$F:$F,0)),0)+E194,"")</f>
        <v/>
      </c>
      <c r="F195" s="11" t="str">
        <f>IF(AND($C195&lt;&gt;"",F$15&lt;&gt;""),IFERROR(INDEX(PriceChangeData!$C:$C,MATCH($C195&amp;F$15,PriceChangeData!$F:$F,0)),0)+F194,"")</f>
        <v/>
      </c>
      <c r="G195" s="11" t="str">
        <f>IF(AND($C195&lt;&gt;"",G$15&lt;&gt;""),IFERROR(INDEX(PriceChangeData!$C:$C,MATCH($C195&amp;G$15,PriceChangeData!$F:$F,0)),0)+G194,"")</f>
        <v/>
      </c>
      <c r="H195" s="19" t="str">
        <f>IF(AND($C195&lt;&gt;"",H$15&lt;&gt;""),IFERROR(INDEX(PriceChangeData!$C:$C,MATCH($C195&amp;H$15,PriceChangeData!$F:$F,0)),0)+H194,"")</f>
        <v/>
      </c>
    </row>
    <row r="196" spans="3:8" x14ac:dyDescent="0.25">
      <c r="C196" s="18">
        <f t="shared" si="4"/>
        <v>43381</v>
      </c>
      <c r="D196" s="10">
        <f>IF(AND($C196&lt;&gt;"",D$15&lt;&gt;""),IFERROR(INDEX(PriceChangeData!$C:$C,MATCH($C196&amp;D$15,PriceChangeData!$F:$F,0)),0)+D195,"")</f>
        <v>3.288399653168244E-2</v>
      </c>
      <c r="E196" s="11" t="str">
        <f>IF(AND($C196&lt;&gt;"",E$15&lt;&gt;""),IFERROR(INDEX(PriceChangeData!$C:$C,MATCH($C196&amp;E$15,PriceChangeData!$F:$F,0)),0)+E195,"")</f>
        <v/>
      </c>
      <c r="F196" s="11" t="str">
        <f>IF(AND($C196&lt;&gt;"",F$15&lt;&gt;""),IFERROR(INDEX(PriceChangeData!$C:$C,MATCH($C196&amp;F$15,PriceChangeData!$F:$F,0)),0)+F195,"")</f>
        <v/>
      </c>
      <c r="G196" s="11" t="str">
        <f>IF(AND($C196&lt;&gt;"",G$15&lt;&gt;""),IFERROR(INDEX(PriceChangeData!$C:$C,MATCH($C196&amp;G$15,PriceChangeData!$F:$F,0)),0)+G195,"")</f>
        <v/>
      </c>
      <c r="H196" s="19" t="str">
        <f>IF(AND($C196&lt;&gt;"",H$15&lt;&gt;""),IFERROR(INDEX(PriceChangeData!$C:$C,MATCH($C196&amp;H$15,PriceChangeData!$F:$F,0)),0)+H195,"")</f>
        <v/>
      </c>
    </row>
    <row r="197" spans="3:8" x14ac:dyDescent="0.25">
      <c r="C197" s="18">
        <f t="shared" si="4"/>
        <v>43382</v>
      </c>
      <c r="D197" s="10">
        <f>IF(AND($C197&lt;&gt;"",D$15&lt;&gt;""),IFERROR(INDEX(PriceChangeData!$C:$C,MATCH($C197&amp;D$15,PriceChangeData!$F:$F,0)),0)+D196,"")</f>
        <v>3.0349223093303752E-2</v>
      </c>
      <c r="E197" s="11" t="str">
        <f>IF(AND($C197&lt;&gt;"",E$15&lt;&gt;""),IFERROR(INDEX(PriceChangeData!$C:$C,MATCH($C197&amp;E$15,PriceChangeData!$F:$F,0)),0)+E196,"")</f>
        <v/>
      </c>
      <c r="F197" s="11" t="str">
        <f>IF(AND($C197&lt;&gt;"",F$15&lt;&gt;""),IFERROR(INDEX(PriceChangeData!$C:$C,MATCH($C197&amp;F$15,PriceChangeData!$F:$F,0)),0)+F196,"")</f>
        <v/>
      </c>
      <c r="G197" s="11" t="str">
        <f>IF(AND($C197&lt;&gt;"",G$15&lt;&gt;""),IFERROR(INDEX(PriceChangeData!$C:$C,MATCH($C197&amp;G$15,PriceChangeData!$F:$F,0)),0)+G196,"")</f>
        <v/>
      </c>
      <c r="H197" s="19" t="str">
        <f>IF(AND($C197&lt;&gt;"",H$15&lt;&gt;""),IFERROR(INDEX(PriceChangeData!$C:$C,MATCH($C197&amp;H$15,PriceChangeData!$F:$F,0)),0)+H196,"")</f>
        <v/>
      </c>
    </row>
    <row r="198" spans="3:8" x14ac:dyDescent="0.25">
      <c r="C198" s="18">
        <f t="shared" si="4"/>
        <v>43383</v>
      </c>
      <c r="D198" s="10">
        <f>IF(AND($C198&lt;&gt;"",D$15&lt;&gt;""),IFERROR(INDEX(PriceChangeData!$C:$C,MATCH($C198&amp;D$15,PriceChangeData!$F:$F,0)),0)+D197,"")</f>
        <v>1.4467911587846986E-2</v>
      </c>
      <c r="E198" s="11" t="str">
        <f>IF(AND($C198&lt;&gt;"",E$15&lt;&gt;""),IFERROR(INDEX(PriceChangeData!$C:$C,MATCH($C198&amp;E$15,PriceChangeData!$F:$F,0)),0)+E197,"")</f>
        <v/>
      </c>
      <c r="F198" s="11" t="str">
        <f>IF(AND($C198&lt;&gt;"",F$15&lt;&gt;""),IFERROR(INDEX(PriceChangeData!$C:$C,MATCH($C198&amp;F$15,PriceChangeData!$F:$F,0)),0)+F197,"")</f>
        <v/>
      </c>
      <c r="G198" s="11" t="str">
        <f>IF(AND($C198&lt;&gt;"",G$15&lt;&gt;""),IFERROR(INDEX(PriceChangeData!$C:$C,MATCH($C198&amp;G$15,PriceChangeData!$F:$F,0)),0)+G197,"")</f>
        <v/>
      </c>
      <c r="H198" s="19" t="str">
        <f>IF(AND($C198&lt;&gt;"",H$15&lt;&gt;""),IFERROR(INDEX(PriceChangeData!$C:$C,MATCH($C198&amp;H$15,PriceChangeData!$F:$F,0)),0)+H197,"")</f>
        <v/>
      </c>
    </row>
    <row r="199" spans="3:8" x14ac:dyDescent="0.25">
      <c r="C199" s="18">
        <f t="shared" si="4"/>
        <v>43384</v>
      </c>
      <c r="D199" s="10">
        <f>IF(AND($C199&lt;&gt;"",D$15&lt;&gt;""),IFERROR(INDEX(PriceChangeData!$C:$C,MATCH($C199&amp;D$15,PriceChangeData!$F:$F,0)),0)+D198,"")</f>
        <v>-1.1434310157709484E-2</v>
      </c>
      <c r="E199" s="11" t="str">
        <f>IF(AND($C199&lt;&gt;"",E$15&lt;&gt;""),IFERROR(INDEX(PriceChangeData!$C:$C,MATCH($C199&amp;E$15,PriceChangeData!$F:$F,0)),0)+E198,"")</f>
        <v/>
      </c>
      <c r="F199" s="11" t="str">
        <f>IF(AND($C199&lt;&gt;"",F$15&lt;&gt;""),IFERROR(INDEX(PriceChangeData!$C:$C,MATCH($C199&amp;F$15,PriceChangeData!$F:$F,0)),0)+F198,"")</f>
        <v/>
      </c>
      <c r="G199" s="11" t="str">
        <f>IF(AND($C199&lt;&gt;"",G$15&lt;&gt;""),IFERROR(INDEX(PriceChangeData!$C:$C,MATCH($C199&amp;G$15,PriceChangeData!$F:$F,0)),0)+G198,"")</f>
        <v/>
      </c>
      <c r="H199" s="19" t="str">
        <f>IF(AND($C199&lt;&gt;"",H$15&lt;&gt;""),IFERROR(INDEX(PriceChangeData!$C:$C,MATCH($C199&amp;H$15,PriceChangeData!$F:$F,0)),0)+H198,"")</f>
        <v/>
      </c>
    </row>
    <row r="200" spans="3:8" x14ac:dyDescent="0.25">
      <c r="C200" s="18">
        <f t="shared" si="4"/>
        <v>43385</v>
      </c>
      <c r="D200" s="10">
        <f>IF(AND($C200&lt;&gt;"",D$15&lt;&gt;""),IFERROR(INDEX(PriceChangeData!$C:$C,MATCH($C200&amp;D$15,PriceChangeData!$F:$F,0)),0)+D199,"")</f>
        <v>-9.0369819508596266E-4</v>
      </c>
      <c r="E200" s="11" t="str">
        <f>IF(AND($C200&lt;&gt;"",E$15&lt;&gt;""),IFERROR(INDEX(PriceChangeData!$C:$C,MATCH($C200&amp;E$15,PriceChangeData!$F:$F,0)),0)+E199,"")</f>
        <v/>
      </c>
      <c r="F200" s="11" t="str">
        <f>IF(AND($C200&lt;&gt;"",F$15&lt;&gt;""),IFERROR(INDEX(PriceChangeData!$C:$C,MATCH($C200&amp;F$15,PriceChangeData!$F:$F,0)),0)+F199,"")</f>
        <v/>
      </c>
      <c r="G200" s="11" t="str">
        <f>IF(AND($C200&lt;&gt;"",G$15&lt;&gt;""),IFERROR(INDEX(PriceChangeData!$C:$C,MATCH($C200&amp;G$15,PriceChangeData!$F:$F,0)),0)+G199,"")</f>
        <v/>
      </c>
      <c r="H200" s="19" t="str">
        <f>IF(AND($C200&lt;&gt;"",H$15&lt;&gt;""),IFERROR(INDEX(PriceChangeData!$C:$C,MATCH($C200&amp;H$15,PriceChangeData!$F:$F,0)),0)+H199,"")</f>
        <v/>
      </c>
    </row>
    <row r="201" spans="3:8" x14ac:dyDescent="0.25">
      <c r="C201" s="18">
        <f t="shared" si="4"/>
        <v>43386</v>
      </c>
      <c r="D201" s="10">
        <f>IF(AND($C201&lt;&gt;"",D$15&lt;&gt;""),IFERROR(INDEX(PriceChangeData!$C:$C,MATCH($C201&amp;D$15,PriceChangeData!$F:$F,0)),0)+D200,"")</f>
        <v>-9.0369819508596266E-4</v>
      </c>
      <c r="E201" s="11" t="str">
        <f>IF(AND($C201&lt;&gt;"",E$15&lt;&gt;""),IFERROR(INDEX(PriceChangeData!$C:$C,MATCH($C201&amp;E$15,PriceChangeData!$F:$F,0)),0)+E200,"")</f>
        <v/>
      </c>
      <c r="F201" s="11" t="str">
        <f>IF(AND($C201&lt;&gt;"",F$15&lt;&gt;""),IFERROR(INDEX(PriceChangeData!$C:$C,MATCH($C201&amp;F$15,PriceChangeData!$F:$F,0)),0)+F200,"")</f>
        <v/>
      </c>
      <c r="G201" s="11" t="str">
        <f>IF(AND($C201&lt;&gt;"",G$15&lt;&gt;""),IFERROR(INDEX(PriceChangeData!$C:$C,MATCH($C201&amp;G$15,PriceChangeData!$F:$F,0)),0)+G200,"")</f>
        <v/>
      </c>
      <c r="H201" s="19" t="str">
        <f>IF(AND($C201&lt;&gt;"",H$15&lt;&gt;""),IFERROR(INDEX(PriceChangeData!$C:$C,MATCH($C201&amp;H$15,PriceChangeData!$F:$F,0)),0)+H200,"")</f>
        <v/>
      </c>
    </row>
    <row r="202" spans="3:8" x14ac:dyDescent="0.25">
      <c r="C202" s="18">
        <f t="shared" si="4"/>
        <v>43387</v>
      </c>
      <c r="D202" s="10">
        <f>IF(AND($C202&lt;&gt;"",D$15&lt;&gt;""),IFERROR(INDEX(PriceChangeData!$C:$C,MATCH($C202&amp;D$15,PriceChangeData!$F:$F,0)),0)+D201,"")</f>
        <v>-9.0369819508596266E-4</v>
      </c>
      <c r="E202" s="11" t="str">
        <f>IF(AND($C202&lt;&gt;"",E$15&lt;&gt;""),IFERROR(INDEX(PriceChangeData!$C:$C,MATCH($C202&amp;E$15,PriceChangeData!$F:$F,0)),0)+E201,"")</f>
        <v/>
      </c>
      <c r="F202" s="11" t="str">
        <f>IF(AND($C202&lt;&gt;"",F$15&lt;&gt;""),IFERROR(INDEX(PriceChangeData!$C:$C,MATCH($C202&amp;F$15,PriceChangeData!$F:$F,0)),0)+F201,"")</f>
        <v/>
      </c>
      <c r="G202" s="11" t="str">
        <f>IF(AND($C202&lt;&gt;"",G$15&lt;&gt;""),IFERROR(INDEX(PriceChangeData!$C:$C,MATCH($C202&amp;G$15,PriceChangeData!$F:$F,0)),0)+G201,"")</f>
        <v/>
      </c>
      <c r="H202" s="19" t="str">
        <f>IF(AND($C202&lt;&gt;"",H$15&lt;&gt;""),IFERROR(INDEX(PriceChangeData!$C:$C,MATCH($C202&amp;H$15,PriceChangeData!$F:$F,0)),0)+H201,"")</f>
        <v/>
      </c>
    </row>
    <row r="203" spans="3:8" x14ac:dyDescent="0.25">
      <c r="C203" s="18">
        <f t="shared" si="4"/>
        <v>43388</v>
      </c>
      <c r="D203" s="10">
        <f>IF(AND($C203&lt;&gt;"",D$15&lt;&gt;""),IFERROR(INDEX(PriceChangeData!$C:$C,MATCH($C203&amp;D$15,PriceChangeData!$F:$F,0)),0)+D202,"")</f>
        <v>-1.7693941509787751E-2</v>
      </c>
      <c r="E203" s="11" t="str">
        <f>IF(AND($C203&lt;&gt;"",E$15&lt;&gt;""),IFERROR(INDEX(PriceChangeData!$C:$C,MATCH($C203&amp;E$15,PriceChangeData!$F:$F,0)),0)+E202,"")</f>
        <v/>
      </c>
      <c r="F203" s="11" t="str">
        <f>IF(AND($C203&lt;&gt;"",F$15&lt;&gt;""),IFERROR(INDEX(PriceChangeData!$C:$C,MATCH($C203&amp;F$15,PriceChangeData!$F:$F,0)),0)+F202,"")</f>
        <v/>
      </c>
      <c r="G203" s="11" t="str">
        <f>IF(AND($C203&lt;&gt;"",G$15&lt;&gt;""),IFERROR(INDEX(PriceChangeData!$C:$C,MATCH($C203&amp;G$15,PriceChangeData!$F:$F,0)),0)+G202,"")</f>
        <v/>
      </c>
      <c r="H203" s="19" t="str">
        <f>IF(AND($C203&lt;&gt;"",H$15&lt;&gt;""),IFERROR(INDEX(PriceChangeData!$C:$C,MATCH($C203&amp;H$15,PriceChangeData!$F:$F,0)),0)+H202,"")</f>
        <v/>
      </c>
    </row>
    <row r="204" spans="3:8" x14ac:dyDescent="0.25">
      <c r="C204" s="18">
        <f t="shared" si="4"/>
        <v>43389</v>
      </c>
      <c r="D204" s="10">
        <f>IF(AND($C204&lt;&gt;"",D$15&lt;&gt;""),IFERROR(INDEX(PriceChangeData!$C:$C,MATCH($C204&amp;D$15,PriceChangeData!$F:$F,0)),0)+D203,"")</f>
        <v>1.2458838177251505E-2</v>
      </c>
      <c r="E204" s="11" t="str">
        <f>IF(AND($C204&lt;&gt;"",E$15&lt;&gt;""),IFERROR(INDEX(PriceChangeData!$C:$C,MATCH($C204&amp;E$15,PriceChangeData!$F:$F,0)),0)+E203,"")</f>
        <v/>
      </c>
      <c r="F204" s="11" t="str">
        <f>IF(AND($C204&lt;&gt;"",F$15&lt;&gt;""),IFERROR(INDEX(PriceChangeData!$C:$C,MATCH($C204&amp;F$15,PriceChangeData!$F:$F,0)),0)+F203,"")</f>
        <v/>
      </c>
      <c r="G204" s="11" t="str">
        <f>IF(AND($C204&lt;&gt;"",G$15&lt;&gt;""),IFERROR(INDEX(PriceChangeData!$C:$C,MATCH($C204&amp;G$15,PriceChangeData!$F:$F,0)),0)+G203,"")</f>
        <v/>
      </c>
      <c r="H204" s="19" t="str">
        <f>IF(AND($C204&lt;&gt;"",H$15&lt;&gt;""),IFERROR(INDEX(PriceChangeData!$C:$C,MATCH($C204&amp;H$15,PriceChangeData!$F:$F,0)),0)+H203,"")</f>
        <v/>
      </c>
    </row>
    <row r="205" spans="3:8" x14ac:dyDescent="0.25">
      <c r="C205" s="18">
        <f t="shared" si="4"/>
        <v>43390</v>
      </c>
      <c r="D205" s="10">
        <f>IF(AND($C205&lt;&gt;"",D$15&lt;&gt;""),IFERROR(INDEX(PriceChangeData!$C:$C,MATCH($C205&amp;D$15,PriceChangeData!$F:$F,0)),0)+D204,"")</f>
        <v>1.6368740739152888E-2</v>
      </c>
      <c r="E205" s="11" t="str">
        <f>IF(AND($C205&lt;&gt;"",E$15&lt;&gt;""),IFERROR(INDEX(PriceChangeData!$C:$C,MATCH($C205&amp;E$15,PriceChangeData!$F:$F,0)),0)+E204,"")</f>
        <v/>
      </c>
      <c r="F205" s="11" t="str">
        <f>IF(AND($C205&lt;&gt;"",F$15&lt;&gt;""),IFERROR(INDEX(PriceChangeData!$C:$C,MATCH($C205&amp;F$15,PriceChangeData!$F:$F,0)),0)+F204,"")</f>
        <v/>
      </c>
      <c r="G205" s="11" t="str">
        <f>IF(AND($C205&lt;&gt;"",G$15&lt;&gt;""),IFERROR(INDEX(PriceChangeData!$C:$C,MATCH($C205&amp;G$15,PriceChangeData!$F:$F,0)),0)+G204,"")</f>
        <v/>
      </c>
      <c r="H205" s="19" t="str">
        <f>IF(AND($C205&lt;&gt;"",H$15&lt;&gt;""),IFERROR(INDEX(PriceChangeData!$C:$C,MATCH($C205&amp;H$15,PriceChangeData!$F:$F,0)),0)+H204,"")</f>
        <v/>
      </c>
    </row>
    <row r="206" spans="3:8" x14ac:dyDescent="0.25">
      <c r="C206" s="18">
        <f t="shared" si="4"/>
        <v>43391</v>
      </c>
      <c r="D206" s="10">
        <f>IF(AND($C206&lt;&gt;"",D$15&lt;&gt;""),IFERROR(INDEX(PriceChangeData!$C:$C,MATCH($C206&amp;D$15,PriceChangeData!$F:$F,0)),0)+D205,"")</f>
        <v>-9.6525348424815922E-3</v>
      </c>
      <c r="E206" s="11" t="str">
        <f>IF(AND($C206&lt;&gt;"",E$15&lt;&gt;""),IFERROR(INDEX(PriceChangeData!$C:$C,MATCH($C206&amp;E$15,PriceChangeData!$F:$F,0)),0)+E205,"")</f>
        <v/>
      </c>
      <c r="F206" s="11" t="str">
        <f>IF(AND($C206&lt;&gt;"",F$15&lt;&gt;""),IFERROR(INDEX(PriceChangeData!$C:$C,MATCH($C206&amp;F$15,PriceChangeData!$F:$F,0)),0)+F205,"")</f>
        <v/>
      </c>
      <c r="G206" s="11" t="str">
        <f>IF(AND($C206&lt;&gt;"",G$15&lt;&gt;""),IFERROR(INDEX(PriceChangeData!$C:$C,MATCH($C206&amp;G$15,PriceChangeData!$F:$F,0)),0)+G205,"")</f>
        <v/>
      </c>
      <c r="H206" s="19" t="str">
        <f>IF(AND($C206&lt;&gt;"",H$15&lt;&gt;""),IFERROR(INDEX(PriceChangeData!$C:$C,MATCH($C206&amp;H$15,PriceChangeData!$F:$F,0)),0)+H205,"")</f>
        <v/>
      </c>
    </row>
    <row r="207" spans="3:8" x14ac:dyDescent="0.25">
      <c r="C207" s="18">
        <f t="shared" si="4"/>
        <v>43392</v>
      </c>
      <c r="D207" s="10">
        <f>IF(AND($C207&lt;&gt;"",D$15&lt;&gt;""),IFERROR(INDEX(PriceChangeData!$C:$C,MATCH($C207&amp;D$15,PriceChangeData!$F:$F,0)),0)+D206,"")</f>
        <v>-3.135443654807657E-2</v>
      </c>
      <c r="E207" s="11" t="str">
        <f>IF(AND($C207&lt;&gt;"",E$15&lt;&gt;""),IFERROR(INDEX(PriceChangeData!$C:$C,MATCH($C207&amp;E$15,PriceChangeData!$F:$F,0)),0)+E206,"")</f>
        <v/>
      </c>
      <c r="F207" s="11" t="str">
        <f>IF(AND($C207&lt;&gt;"",F$15&lt;&gt;""),IFERROR(INDEX(PriceChangeData!$C:$C,MATCH($C207&amp;F$15,PriceChangeData!$F:$F,0)),0)+F206,"")</f>
        <v/>
      </c>
      <c r="G207" s="11" t="str">
        <f>IF(AND($C207&lt;&gt;"",G$15&lt;&gt;""),IFERROR(INDEX(PriceChangeData!$C:$C,MATCH($C207&amp;G$15,PriceChangeData!$F:$F,0)),0)+G206,"")</f>
        <v/>
      </c>
      <c r="H207" s="19" t="str">
        <f>IF(AND($C207&lt;&gt;"",H$15&lt;&gt;""),IFERROR(INDEX(PriceChangeData!$C:$C,MATCH($C207&amp;H$15,PriceChangeData!$F:$F,0)),0)+H206,"")</f>
        <v/>
      </c>
    </row>
    <row r="208" spans="3:8" x14ac:dyDescent="0.25">
      <c r="C208" s="18">
        <f t="shared" si="4"/>
        <v>43393</v>
      </c>
      <c r="D208" s="10">
        <f>IF(AND($C208&lt;&gt;"",D$15&lt;&gt;""),IFERROR(INDEX(PriceChangeData!$C:$C,MATCH($C208&amp;D$15,PriceChangeData!$F:$F,0)),0)+D207,"")</f>
        <v>-3.135443654807657E-2</v>
      </c>
      <c r="E208" s="11" t="str">
        <f>IF(AND($C208&lt;&gt;"",E$15&lt;&gt;""),IFERROR(INDEX(PriceChangeData!$C:$C,MATCH($C208&amp;E$15,PriceChangeData!$F:$F,0)),0)+E207,"")</f>
        <v/>
      </c>
      <c r="F208" s="11" t="str">
        <f>IF(AND($C208&lt;&gt;"",F$15&lt;&gt;""),IFERROR(INDEX(PriceChangeData!$C:$C,MATCH($C208&amp;F$15,PriceChangeData!$F:$F,0)),0)+F207,"")</f>
        <v/>
      </c>
      <c r="G208" s="11" t="str">
        <f>IF(AND($C208&lt;&gt;"",G$15&lt;&gt;""),IFERROR(INDEX(PriceChangeData!$C:$C,MATCH($C208&amp;G$15,PriceChangeData!$F:$F,0)),0)+G207,"")</f>
        <v/>
      </c>
      <c r="H208" s="19" t="str">
        <f>IF(AND($C208&lt;&gt;"",H$15&lt;&gt;""),IFERROR(INDEX(PriceChangeData!$C:$C,MATCH($C208&amp;H$15,PriceChangeData!$F:$F,0)),0)+H207,"")</f>
        <v/>
      </c>
    </row>
    <row r="209" spans="3:8" x14ac:dyDescent="0.25">
      <c r="C209" s="18">
        <f t="shared" si="4"/>
        <v>43394</v>
      </c>
      <c r="D209" s="10">
        <f>IF(AND($C209&lt;&gt;"",D$15&lt;&gt;""),IFERROR(INDEX(PriceChangeData!$C:$C,MATCH($C209&amp;D$15,PriceChangeData!$F:$F,0)),0)+D208,"")</f>
        <v>-3.135443654807657E-2</v>
      </c>
      <c r="E209" s="11" t="str">
        <f>IF(AND($C209&lt;&gt;"",E$15&lt;&gt;""),IFERROR(INDEX(PriceChangeData!$C:$C,MATCH($C209&amp;E$15,PriceChangeData!$F:$F,0)),0)+E208,"")</f>
        <v/>
      </c>
      <c r="F209" s="11" t="str">
        <f>IF(AND($C209&lt;&gt;"",F$15&lt;&gt;""),IFERROR(INDEX(PriceChangeData!$C:$C,MATCH($C209&amp;F$15,PriceChangeData!$F:$F,0)),0)+F208,"")</f>
        <v/>
      </c>
      <c r="G209" s="11" t="str">
        <f>IF(AND($C209&lt;&gt;"",G$15&lt;&gt;""),IFERROR(INDEX(PriceChangeData!$C:$C,MATCH($C209&amp;G$15,PriceChangeData!$F:$F,0)),0)+G208,"")</f>
        <v/>
      </c>
      <c r="H209" s="19" t="str">
        <f>IF(AND($C209&lt;&gt;"",H$15&lt;&gt;""),IFERROR(INDEX(PriceChangeData!$C:$C,MATCH($C209&amp;H$15,PriceChangeData!$F:$F,0)),0)+H208,"")</f>
        <v/>
      </c>
    </row>
    <row r="210" spans="3:8" x14ac:dyDescent="0.25">
      <c r="C210" s="18">
        <f t="shared" ref="C210:C273" si="5">IFERROR(IF(C209+1&gt;C$12,"",C209+1),"")</f>
        <v>43395</v>
      </c>
      <c r="D210" s="10">
        <f>IF(AND($C210&lt;&gt;"",D$15&lt;&gt;""),IFERROR(INDEX(PriceChangeData!$C:$C,MATCH($C210&amp;D$15,PriceChangeData!$F:$F,0)),0)+D209,"")</f>
        <v>-7.4324682290521388E-2</v>
      </c>
      <c r="E210" s="11" t="str">
        <f>IF(AND($C210&lt;&gt;"",E$15&lt;&gt;""),IFERROR(INDEX(PriceChangeData!$C:$C,MATCH($C210&amp;E$15,PriceChangeData!$F:$F,0)),0)+E209,"")</f>
        <v/>
      </c>
      <c r="F210" s="11" t="str">
        <f>IF(AND($C210&lt;&gt;"",F$15&lt;&gt;""),IFERROR(INDEX(PriceChangeData!$C:$C,MATCH($C210&amp;F$15,PriceChangeData!$F:$F,0)),0)+F209,"")</f>
        <v/>
      </c>
      <c r="G210" s="11" t="str">
        <f>IF(AND($C210&lt;&gt;"",G$15&lt;&gt;""),IFERROR(INDEX(PriceChangeData!$C:$C,MATCH($C210&amp;G$15,PriceChangeData!$F:$F,0)),0)+G209,"")</f>
        <v/>
      </c>
      <c r="H210" s="19" t="str">
        <f>IF(AND($C210&lt;&gt;"",H$15&lt;&gt;""),IFERROR(INDEX(PriceChangeData!$C:$C,MATCH($C210&amp;H$15,PriceChangeData!$F:$F,0)),0)+H209,"")</f>
        <v/>
      </c>
    </row>
    <row r="211" spans="3:8" x14ac:dyDescent="0.25">
      <c r="C211" s="18">
        <f t="shared" si="5"/>
        <v>43396</v>
      </c>
      <c r="D211" s="10">
        <f>IF(AND($C211&lt;&gt;"",D$15&lt;&gt;""),IFERROR(INDEX(PriceChangeData!$C:$C,MATCH($C211&amp;D$15,PriceChangeData!$F:$F,0)),0)+D210,"")</f>
        <v>-8.9991703108145887E-2</v>
      </c>
      <c r="E211" s="11" t="str">
        <f>IF(AND($C211&lt;&gt;"",E$15&lt;&gt;""),IFERROR(INDEX(PriceChangeData!$C:$C,MATCH($C211&amp;E$15,PriceChangeData!$F:$F,0)),0)+E210,"")</f>
        <v/>
      </c>
      <c r="F211" s="11" t="str">
        <f>IF(AND($C211&lt;&gt;"",F$15&lt;&gt;""),IFERROR(INDEX(PriceChangeData!$C:$C,MATCH($C211&amp;F$15,PriceChangeData!$F:$F,0)),0)+F210,"")</f>
        <v/>
      </c>
      <c r="G211" s="11" t="str">
        <f>IF(AND($C211&lt;&gt;"",G$15&lt;&gt;""),IFERROR(INDEX(PriceChangeData!$C:$C,MATCH($C211&amp;G$15,PriceChangeData!$F:$F,0)),0)+G210,"")</f>
        <v/>
      </c>
      <c r="H211" s="19" t="str">
        <f>IF(AND($C211&lt;&gt;"",H$15&lt;&gt;""),IFERROR(INDEX(PriceChangeData!$C:$C,MATCH($C211&amp;H$15,PriceChangeData!$F:$F,0)),0)+H210,"")</f>
        <v/>
      </c>
    </row>
    <row r="212" spans="3:8" x14ac:dyDescent="0.25">
      <c r="C212" s="18">
        <f t="shared" si="5"/>
        <v>43397</v>
      </c>
      <c r="D212" s="10">
        <f>IF(AND($C212&lt;&gt;"",D$15&lt;&gt;""),IFERROR(INDEX(PriceChangeData!$C:$C,MATCH($C212&amp;D$15,PriceChangeData!$F:$F,0)),0)+D211,"")</f>
        <v>-0.13372608888860993</v>
      </c>
      <c r="E212" s="11" t="str">
        <f>IF(AND($C212&lt;&gt;"",E$15&lt;&gt;""),IFERROR(INDEX(PriceChangeData!$C:$C,MATCH($C212&amp;E$15,PriceChangeData!$F:$F,0)),0)+E211,"")</f>
        <v/>
      </c>
      <c r="F212" s="11" t="str">
        <f>IF(AND($C212&lt;&gt;"",F$15&lt;&gt;""),IFERROR(INDEX(PriceChangeData!$C:$C,MATCH($C212&amp;F$15,PriceChangeData!$F:$F,0)),0)+F211,"")</f>
        <v/>
      </c>
      <c r="G212" s="11" t="str">
        <f>IF(AND($C212&lt;&gt;"",G$15&lt;&gt;""),IFERROR(INDEX(PriceChangeData!$C:$C,MATCH($C212&amp;G$15,PriceChangeData!$F:$F,0)),0)+G211,"")</f>
        <v/>
      </c>
      <c r="H212" s="19" t="str">
        <f>IF(AND($C212&lt;&gt;"",H$15&lt;&gt;""),IFERROR(INDEX(PriceChangeData!$C:$C,MATCH($C212&amp;H$15,PriceChangeData!$F:$F,0)),0)+H211,"")</f>
        <v/>
      </c>
    </row>
    <row r="213" spans="3:8" x14ac:dyDescent="0.25">
      <c r="C213" s="18">
        <f t="shared" si="5"/>
        <v>43398</v>
      </c>
      <c r="D213" s="10">
        <f>IF(AND($C213&lt;&gt;"",D$15&lt;&gt;""),IFERROR(INDEX(PriceChangeData!$C:$C,MATCH($C213&amp;D$15,PriceChangeData!$F:$F,0)),0)+D212,"")</f>
        <v>-0.10492916073213664</v>
      </c>
      <c r="E213" s="11" t="str">
        <f>IF(AND($C213&lt;&gt;"",E$15&lt;&gt;""),IFERROR(INDEX(PriceChangeData!$C:$C,MATCH($C213&amp;E$15,PriceChangeData!$F:$F,0)),0)+E212,"")</f>
        <v/>
      </c>
      <c r="F213" s="11" t="str">
        <f>IF(AND($C213&lt;&gt;"",F$15&lt;&gt;""),IFERROR(INDEX(PriceChangeData!$C:$C,MATCH($C213&amp;F$15,PriceChangeData!$F:$F,0)),0)+F212,"")</f>
        <v/>
      </c>
      <c r="G213" s="11" t="str">
        <f>IF(AND($C213&lt;&gt;"",G$15&lt;&gt;""),IFERROR(INDEX(PriceChangeData!$C:$C,MATCH($C213&amp;G$15,PriceChangeData!$F:$F,0)),0)+G212,"")</f>
        <v/>
      </c>
      <c r="H213" s="19" t="str">
        <f>IF(AND($C213&lt;&gt;"",H$15&lt;&gt;""),IFERROR(INDEX(PriceChangeData!$C:$C,MATCH($C213&amp;H$15,PriceChangeData!$F:$F,0)),0)+H212,"")</f>
        <v/>
      </c>
    </row>
    <row r="214" spans="3:8" x14ac:dyDescent="0.25">
      <c r="C214" s="18">
        <f t="shared" si="5"/>
        <v>43399</v>
      </c>
      <c r="D214" s="10">
        <f>IF(AND($C214&lt;&gt;"",D$15&lt;&gt;""),IFERROR(INDEX(PriceChangeData!$C:$C,MATCH($C214&amp;D$15,PriceChangeData!$F:$F,0)),0)+D213,"")</f>
        <v>-0.11649820653998802</v>
      </c>
      <c r="E214" s="11" t="str">
        <f>IF(AND($C214&lt;&gt;"",E$15&lt;&gt;""),IFERROR(INDEX(PriceChangeData!$C:$C,MATCH($C214&amp;E$15,PriceChangeData!$F:$F,0)),0)+E213,"")</f>
        <v/>
      </c>
      <c r="F214" s="11" t="str">
        <f>IF(AND($C214&lt;&gt;"",F$15&lt;&gt;""),IFERROR(INDEX(PriceChangeData!$C:$C,MATCH($C214&amp;F$15,PriceChangeData!$F:$F,0)),0)+F213,"")</f>
        <v/>
      </c>
      <c r="G214" s="11" t="str">
        <f>IF(AND($C214&lt;&gt;"",G$15&lt;&gt;""),IFERROR(INDEX(PriceChangeData!$C:$C,MATCH($C214&amp;G$15,PriceChangeData!$F:$F,0)),0)+G213,"")</f>
        <v/>
      </c>
      <c r="H214" s="19" t="str">
        <f>IF(AND($C214&lt;&gt;"",H$15&lt;&gt;""),IFERROR(INDEX(PriceChangeData!$C:$C,MATCH($C214&amp;H$15,PriceChangeData!$F:$F,0)),0)+H213,"")</f>
        <v/>
      </c>
    </row>
    <row r="215" spans="3:8" x14ac:dyDescent="0.25">
      <c r="C215" s="18">
        <f t="shared" si="5"/>
        <v>43400</v>
      </c>
      <c r="D215" s="10">
        <f>IF(AND($C215&lt;&gt;"",D$15&lt;&gt;""),IFERROR(INDEX(PriceChangeData!$C:$C,MATCH($C215&amp;D$15,PriceChangeData!$F:$F,0)),0)+D214,"")</f>
        <v>-0.11649820653998802</v>
      </c>
      <c r="E215" s="11" t="str">
        <f>IF(AND($C215&lt;&gt;"",E$15&lt;&gt;""),IFERROR(INDEX(PriceChangeData!$C:$C,MATCH($C215&amp;E$15,PriceChangeData!$F:$F,0)),0)+E214,"")</f>
        <v/>
      </c>
      <c r="F215" s="11" t="str">
        <f>IF(AND($C215&lt;&gt;"",F$15&lt;&gt;""),IFERROR(INDEX(PriceChangeData!$C:$C,MATCH($C215&amp;F$15,PriceChangeData!$F:$F,0)),0)+F214,"")</f>
        <v/>
      </c>
      <c r="G215" s="11" t="str">
        <f>IF(AND($C215&lt;&gt;"",G$15&lt;&gt;""),IFERROR(INDEX(PriceChangeData!$C:$C,MATCH($C215&amp;G$15,PriceChangeData!$F:$F,0)),0)+G214,"")</f>
        <v/>
      </c>
      <c r="H215" s="19" t="str">
        <f>IF(AND($C215&lt;&gt;"",H$15&lt;&gt;""),IFERROR(INDEX(PriceChangeData!$C:$C,MATCH($C215&amp;H$15,PriceChangeData!$F:$F,0)),0)+H214,"")</f>
        <v/>
      </c>
    </row>
    <row r="216" spans="3:8" x14ac:dyDescent="0.25">
      <c r="C216" s="18">
        <f t="shared" si="5"/>
        <v>43401</v>
      </c>
      <c r="D216" s="10">
        <f>IF(AND($C216&lt;&gt;"",D$15&lt;&gt;""),IFERROR(INDEX(PriceChangeData!$C:$C,MATCH($C216&amp;D$15,PriceChangeData!$F:$F,0)),0)+D215,"")</f>
        <v>-0.11649820653998802</v>
      </c>
      <c r="E216" s="11" t="str">
        <f>IF(AND($C216&lt;&gt;"",E$15&lt;&gt;""),IFERROR(INDEX(PriceChangeData!$C:$C,MATCH($C216&amp;E$15,PriceChangeData!$F:$F,0)),0)+E215,"")</f>
        <v/>
      </c>
      <c r="F216" s="11" t="str">
        <f>IF(AND($C216&lt;&gt;"",F$15&lt;&gt;""),IFERROR(INDEX(PriceChangeData!$C:$C,MATCH($C216&amp;F$15,PriceChangeData!$F:$F,0)),0)+F215,"")</f>
        <v/>
      </c>
      <c r="G216" s="11" t="str">
        <f>IF(AND($C216&lt;&gt;"",G$15&lt;&gt;""),IFERROR(INDEX(PriceChangeData!$C:$C,MATCH($C216&amp;G$15,PriceChangeData!$F:$F,0)),0)+G215,"")</f>
        <v/>
      </c>
      <c r="H216" s="19" t="str">
        <f>IF(AND($C216&lt;&gt;"",H$15&lt;&gt;""),IFERROR(INDEX(PriceChangeData!$C:$C,MATCH($C216&amp;H$15,PriceChangeData!$F:$F,0)),0)+H215,"")</f>
        <v/>
      </c>
    </row>
    <row r="217" spans="3:8" x14ac:dyDescent="0.25">
      <c r="C217" s="18">
        <f t="shared" si="5"/>
        <v>43402</v>
      </c>
      <c r="D217" s="10">
        <f>IF(AND($C217&lt;&gt;"",D$15&lt;&gt;""),IFERROR(INDEX(PriceChangeData!$C:$C,MATCH($C217&amp;D$15,PriceChangeData!$F:$F,0)),0)+D216,"")</f>
        <v>-0.10946756990237043</v>
      </c>
      <c r="E217" s="11" t="str">
        <f>IF(AND($C217&lt;&gt;"",E$15&lt;&gt;""),IFERROR(INDEX(PriceChangeData!$C:$C,MATCH($C217&amp;E$15,PriceChangeData!$F:$F,0)),0)+E216,"")</f>
        <v/>
      </c>
      <c r="F217" s="11" t="str">
        <f>IF(AND($C217&lt;&gt;"",F$15&lt;&gt;""),IFERROR(INDEX(PriceChangeData!$C:$C,MATCH($C217&amp;F$15,PriceChangeData!$F:$F,0)),0)+F216,"")</f>
        <v/>
      </c>
      <c r="G217" s="11" t="str">
        <f>IF(AND($C217&lt;&gt;"",G$15&lt;&gt;""),IFERROR(INDEX(PriceChangeData!$C:$C,MATCH($C217&amp;G$15,PriceChangeData!$F:$F,0)),0)+G216,"")</f>
        <v/>
      </c>
      <c r="H217" s="19" t="str">
        <f>IF(AND($C217&lt;&gt;"",H$15&lt;&gt;""),IFERROR(INDEX(PriceChangeData!$C:$C,MATCH($C217&amp;H$15,PriceChangeData!$F:$F,0)),0)+H216,"")</f>
        <v/>
      </c>
    </row>
    <row r="218" spans="3:8" x14ac:dyDescent="0.25">
      <c r="C218" s="18">
        <f t="shared" si="5"/>
        <v>43403</v>
      </c>
      <c r="D218" s="10">
        <f>IF(AND($C218&lt;&gt;"",D$15&lt;&gt;""),IFERROR(INDEX(PriceChangeData!$C:$C,MATCH($C218&amp;D$15,PriceChangeData!$F:$F,0)),0)+D217,"")</f>
        <v>-0.10664353930567061</v>
      </c>
      <c r="E218" s="11" t="str">
        <f>IF(AND($C218&lt;&gt;"",E$15&lt;&gt;""),IFERROR(INDEX(PriceChangeData!$C:$C,MATCH($C218&amp;E$15,PriceChangeData!$F:$F,0)),0)+E217,"")</f>
        <v/>
      </c>
      <c r="F218" s="11" t="str">
        <f>IF(AND($C218&lt;&gt;"",F$15&lt;&gt;""),IFERROR(INDEX(PriceChangeData!$C:$C,MATCH($C218&amp;F$15,PriceChangeData!$F:$F,0)),0)+F217,"")</f>
        <v/>
      </c>
      <c r="G218" s="11" t="str">
        <f>IF(AND($C218&lt;&gt;"",G$15&lt;&gt;""),IFERROR(INDEX(PriceChangeData!$C:$C,MATCH($C218&amp;G$15,PriceChangeData!$F:$F,0)),0)+G217,"")</f>
        <v/>
      </c>
      <c r="H218" s="19" t="str">
        <f>IF(AND($C218&lt;&gt;"",H$15&lt;&gt;""),IFERROR(INDEX(PriceChangeData!$C:$C,MATCH($C218&amp;H$15,PriceChangeData!$F:$F,0)),0)+H217,"")</f>
        <v/>
      </c>
    </row>
    <row r="219" spans="3:8" x14ac:dyDescent="0.25">
      <c r="C219" s="18">
        <f t="shared" si="5"/>
        <v>43404</v>
      </c>
      <c r="D219" s="10">
        <f>IF(AND($C219&lt;&gt;"",D$15&lt;&gt;""),IFERROR(INDEX(PriceChangeData!$C:$C,MATCH($C219&amp;D$15,PriceChangeData!$F:$F,0)),0)+D218,"")</f>
        <v>-0.15356649993675597</v>
      </c>
      <c r="E219" s="11" t="str">
        <f>IF(AND($C219&lt;&gt;"",E$15&lt;&gt;""),IFERROR(INDEX(PriceChangeData!$C:$C,MATCH($C219&amp;E$15,PriceChangeData!$F:$F,0)),0)+E218,"")</f>
        <v/>
      </c>
      <c r="F219" s="11" t="str">
        <f>IF(AND($C219&lt;&gt;"",F$15&lt;&gt;""),IFERROR(INDEX(PriceChangeData!$C:$C,MATCH($C219&amp;F$15,PriceChangeData!$F:$F,0)),0)+F218,"")</f>
        <v/>
      </c>
      <c r="G219" s="11" t="str">
        <f>IF(AND($C219&lt;&gt;"",G$15&lt;&gt;""),IFERROR(INDEX(PriceChangeData!$C:$C,MATCH($C219&amp;G$15,PriceChangeData!$F:$F,0)),0)+G218,"")</f>
        <v/>
      </c>
      <c r="H219" s="19" t="str">
        <f>IF(AND($C219&lt;&gt;"",H$15&lt;&gt;""),IFERROR(INDEX(PriceChangeData!$C:$C,MATCH($C219&amp;H$15,PriceChangeData!$F:$F,0)),0)+H218,"")</f>
        <v/>
      </c>
    </row>
    <row r="220" spans="3:8" x14ac:dyDescent="0.25">
      <c r="C220" s="18">
        <f t="shared" si="5"/>
        <v>43405</v>
      </c>
      <c r="D220" s="10">
        <f>IF(AND($C220&lt;&gt;"",D$15&lt;&gt;""),IFERROR(INDEX(PriceChangeData!$C:$C,MATCH($C220&amp;D$15,PriceChangeData!$F:$F,0)),0)+D219,"")</f>
        <v>-0.12370229329467614</v>
      </c>
      <c r="E220" s="11" t="str">
        <f>IF(AND($C220&lt;&gt;"",E$15&lt;&gt;""),IFERROR(INDEX(PriceChangeData!$C:$C,MATCH($C220&amp;E$15,PriceChangeData!$F:$F,0)),0)+E219,"")</f>
        <v/>
      </c>
      <c r="F220" s="11" t="str">
        <f>IF(AND($C220&lt;&gt;"",F$15&lt;&gt;""),IFERROR(INDEX(PriceChangeData!$C:$C,MATCH($C220&amp;F$15,PriceChangeData!$F:$F,0)),0)+F219,"")</f>
        <v/>
      </c>
      <c r="G220" s="11" t="str">
        <f>IF(AND($C220&lt;&gt;"",G$15&lt;&gt;""),IFERROR(INDEX(PriceChangeData!$C:$C,MATCH($C220&amp;G$15,PriceChangeData!$F:$F,0)),0)+G219,"")</f>
        <v/>
      </c>
      <c r="H220" s="19" t="str">
        <f>IF(AND($C220&lt;&gt;"",H$15&lt;&gt;""),IFERROR(INDEX(PriceChangeData!$C:$C,MATCH($C220&amp;H$15,PriceChangeData!$F:$F,0)),0)+H219,"")</f>
        <v/>
      </c>
    </row>
    <row r="221" spans="3:8" x14ac:dyDescent="0.25">
      <c r="C221" s="18">
        <f t="shared" si="5"/>
        <v>43406</v>
      </c>
      <c r="D221" s="10">
        <f>IF(AND($C221&lt;&gt;"",D$15&lt;&gt;""),IFERROR(INDEX(PriceChangeData!$C:$C,MATCH($C221&amp;D$15,PriceChangeData!$F:$F,0)),0)+D220,"")</f>
        <v>-0.13183871918339701</v>
      </c>
      <c r="E221" s="11" t="str">
        <f>IF(AND($C221&lt;&gt;"",E$15&lt;&gt;""),IFERROR(INDEX(PriceChangeData!$C:$C,MATCH($C221&amp;E$15,PriceChangeData!$F:$F,0)),0)+E220,"")</f>
        <v/>
      </c>
      <c r="F221" s="11" t="str">
        <f>IF(AND($C221&lt;&gt;"",F$15&lt;&gt;""),IFERROR(INDEX(PriceChangeData!$C:$C,MATCH($C221&amp;F$15,PriceChangeData!$F:$F,0)),0)+F220,"")</f>
        <v/>
      </c>
      <c r="G221" s="11" t="str">
        <f>IF(AND($C221&lt;&gt;"",G$15&lt;&gt;""),IFERROR(INDEX(PriceChangeData!$C:$C,MATCH($C221&amp;G$15,PriceChangeData!$F:$F,0)),0)+G220,"")</f>
        <v/>
      </c>
      <c r="H221" s="19" t="str">
        <f>IF(AND($C221&lt;&gt;"",H$15&lt;&gt;""),IFERROR(INDEX(PriceChangeData!$C:$C,MATCH($C221&amp;H$15,PriceChangeData!$F:$F,0)),0)+H220,"")</f>
        <v/>
      </c>
    </row>
    <row r="222" spans="3:8" x14ac:dyDescent="0.25">
      <c r="C222" s="18">
        <f t="shared" si="5"/>
        <v>43407</v>
      </c>
      <c r="D222" s="10">
        <f>IF(AND($C222&lt;&gt;"",D$15&lt;&gt;""),IFERROR(INDEX(PriceChangeData!$C:$C,MATCH($C222&amp;D$15,PriceChangeData!$F:$F,0)),0)+D221,"")</f>
        <v>-0.13183871918339701</v>
      </c>
      <c r="E222" s="11" t="str">
        <f>IF(AND($C222&lt;&gt;"",E$15&lt;&gt;""),IFERROR(INDEX(PriceChangeData!$C:$C,MATCH($C222&amp;E$15,PriceChangeData!$F:$F,0)),0)+E221,"")</f>
        <v/>
      </c>
      <c r="F222" s="11" t="str">
        <f>IF(AND($C222&lt;&gt;"",F$15&lt;&gt;""),IFERROR(INDEX(PriceChangeData!$C:$C,MATCH($C222&amp;F$15,PriceChangeData!$F:$F,0)),0)+F221,"")</f>
        <v/>
      </c>
      <c r="G222" s="11" t="str">
        <f>IF(AND($C222&lt;&gt;"",G$15&lt;&gt;""),IFERROR(INDEX(PriceChangeData!$C:$C,MATCH($C222&amp;G$15,PriceChangeData!$F:$F,0)),0)+G221,"")</f>
        <v/>
      </c>
      <c r="H222" s="19" t="str">
        <f>IF(AND($C222&lt;&gt;"",H$15&lt;&gt;""),IFERROR(INDEX(PriceChangeData!$C:$C,MATCH($C222&amp;H$15,PriceChangeData!$F:$F,0)),0)+H221,"")</f>
        <v/>
      </c>
    </row>
    <row r="223" spans="3:8" x14ac:dyDescent="0.25">
      <c r="C223" s="18">
        <f t="shared" si="5"/>
        <v>43408</v>
      </c>
      <c r="D223" s="10">
        <f>IF(AND($C223&lt;&gt;"",D$15&lt;&gt;""),IFERROR(INDEX(PriceChangeData!$C:$C,MATCH($C223&amp;D$15,PriceChangeData!$F:$F,0)),0)+D222,"")</f>
        <v>-0.13183871918339701</v>
      </c>
      <c r="E223" s="11" t="str">
        <f>IF(AND($C223&lt;&gt;"",E$15&lt;&gt;""),IFERROR(INDEX(PriceChangeData!$C:$C,MATCH($C223&amp;E$15,PriceChangeData!$F:$F,0)),0)+E222,"")</f>
        <v/>
      </c>
      <c r="F223" s="11" t="str">
        <f>IF(AND($C223&lt;&gt;"",F$15&lt;&gt;""),IFERROR(INDEX(PriceChangeData!$C:$C,MATCH($C223&amp;F$15,PriceChangeData!$F:$F,0)),0)+F222,"")</f>
        <v/>
      </c>
      <c r="G223" s="11" t="str">
        <f>IF(AND($C223&lt;&gt;"",G$15&lt;&gt;""),IFERROR(INDEX(PriceChangeData!$C:$C,MATCH($C223&amp;G$15,PriceChangeData!$F:$F,0)),0)+G222,"")</f>
        <v/>
      </c>
      <c r="H223" s="19" t="str">
        <f>IF(AND($C223&lt;&gt;"",H$15&lt;&gt;""),IFERROR(INDEX(PriceChangeData!$C:$C,MATCH($C223&amp;H$15,PriceChangeData!$F:$F,0)),0)+H222,"")</f>
        <v/>
      </c>
    </row>
    <row r="224" spans="3:8" x14ac:dyDescent="0.25">
      <c r="C224" s="18">
        <f t="shared" si="5"/>
        <v>43409</v>
      </c>
      <c r="D224" s="10">
        <f>IF(AND($C224&lt;&gt;"",D$15&lt;&gt;""),IFERROR(INDEX(PriceChangeData!$C:$C,MATCH($C224&amp;D$15,PriceChangeData!$F:$F,0)),0)+D223,"")</f>
        <v>-9.4582794149462204E-2</v>
      </c>
      <c r="E224" s="11" t="str">
        <f>IF(AND($C224&lt;&gt;"",E$15&lt;&gt;""),IFERROR(INDEX(PriceChangeData!$C:$C,MATCH($C224&amp;E$15,PriceChangeData!$F:$F,0)),0)+E223,"")</f>
        <v/>
      </c>
      <c r="F224" s="11" t="str">
        <f>IF(AND($C224&lt;&gt;"",F$15&lt;&gt;""),IFERROR(INDEX(PriceChangeData!$C:$C,MATCH($C224&amp;F$15,PriceChangeData!$F:$F,0)),0)+F223,"")</f>
        <v/>
      </c>
      <c r="G224" s="11" t="str">
        <f>IF(AND($C224&lt;&gt;"",G$15&lt;&gt;""),IFERROR(INDEX(PriceChangeData!$C:$C,MATCH($C224&amp;G$15,PriceChangeData!$F:$F,0)),0)+G223,"")</f>
        <v/>
      </c>
      <c r="H224" s="19" t="str">
        <f>IF(AND($C224&lt;&gt;"",H$15&lt;&gt;""),IFERROR(INDEX(PriceChangeData!$C:$C,MATCH($C224&amp;H$15,PriceChangeData!$F:$F,0)),0)+H223,"")</f>
        <v/>
      </c>
    </row>
    <row r="225" spans="3:8" x14ac:dyDescent="0.25">
      <c r="C225" s="18">
        <f t="shared" si="5"/>
        <v>43410</v>
      </c>
      <c r="D225" s="10">
        <f>IF(AND($C225&lt;&gt;"",D$15&lt;&gt;""),IFERROR(INDEX(PriceChangeData!$C:$C,MATCH($C225&amp;D$15,PriceChangeData!$F:$F,0)),0)+D224,"")</f>
        <v>-8.1589532917309554E-2</v>
      </c>
      <c r="E225" s="11" t="str">
        <f>IF(AND($C225&lt;&gt;"",E$15&lt;&gt;""),IFERROR(INDEX(PriceChangeData!$C:$C,MATCH($C225&amp;E$15,PriceChangeData!$F:$F,0)),0)+E224,"")</f>
        <v/>
      </c>
      <c r="F225" s="11" t="str">
        <f>IF(AND($C225&lt;&gt;"",F$15&lt;&gt;""),IFERROR(INDEX(PriceChangeData!$C:$C,MATCH($C225&amp;F$15,PriceChangeData!$F:$F,0)),0)+F224,"")</f>
        <v/>
      </c>
      <c r="G225" s="11" t="str">
        <f>IF(AND($C225&lt;&gt;"",G$15&lt;&gt;""),IFERROR(INDEX(PriceChangeData!$C:$C,MATCH($C225&amp;G$15,PriceChangeData!$F:$F,0)),0)+G224,"")</f>
        <v/>
      </c>
      <c r="H225" s="19" t="str">
        <f>IF(AND($C225&lt;&gt;"",H$15&lt;&gt;""),IFERROR(INDEX(PriceChangeData!$C:$C,MATCH($C225&amp;H$15,PriceChangeData!$F:$F,0)),0)+H224,"")</f>
        <v/>
      </c>
    </row>
    <row r="226" spans="3:8" x14ac:dyDescent="0.25">
      <c r="C226" s="18">
        <f t="shared" si="5"/>
        <v>43411</v>
      </c>
      <c r="D226" s="10">
        <f>IF(AND($C226&lt;&gt;"",D$15&lt;&gt;""),IFERROR(INDEX(PriceChangeData!$C:$C,MATCH($C226&amp;D$15,PriceChangeData!$F:$F,0)),0)+D225,"")</f>
        <v>-4.2902467613435732E-2</v>
      </c>
      <c r="E226" s="11" t="str">
        <f>IF(AND($C226&lt;&gt;"",E$15&lt;&gt;""),IFERROR(INDEX(PriceChangeData!$C:$C,MATCH($C226&amp;E$15,PriceChangeData!$F:$F,0)),0)+E225,"")</f>
        <v/>
      </c>
      <c r="F226" s="11" t="str">
        <f>IF(AND($C226&lt;&gt;"",F$15&lt;&gt;""),IFERROR(INDEX(PriceChangeData!$C:$C,MATCH($C226&amp;F$15,PriceChangeData!$F:$F,0)),0)+F225,"")</f>
        <v/>
      </c>
      <c r="G226" s="11" t="str">
        <f>IF(AND($C226&lt;&gt;"",G$15&lt;&gt;""),IFERROR(INDEX(PriceChangeData!$C:$C,MATCH($C226&amp;G$15,PriceChangeData!$F:$F,0)),0)+G225,"")</f>
        <v/>
      </c>
      <c r="H226" s="19" t="str">
        <f>IF(AND($C226&lt;&gt;"",H$15&lt;&gt;""),IFERROR(INDEX(PriceChangeData!$C:$C,MATCH($C226&amp;H$15,PriceChangeData!$F:$F,0)),0)+H225,"")</f>
        <v/>
      </c>
    </row>
    <row r="227" spans="3:8" x14ac:dyDescent="0.25">
      <c r="C227" s="18">
        <f t="shared" si="5"/>
        <v>43412</v>
      </c>
      <c r="D227" s="10">
        <f>IF(AND($C227&lt;&gt;"",D$15&lt;&gt;""),IFERROR(INDEX(PriceChangeData!$C:$C,MATCH($C227&amp;D$15,PriceChangeData!$F:$F,0)),0)+D226,"")</f>
        <v>-3.4086456731999434E-2</v>
      </c>
      <c r="E227" s="11" t="str">
        <f>IF(AND($C227&lt;&gt;"",E$15&lt;&gt;""),IFERROR(INDEX(PriceChangeData!$C:$C,MATCH($C227&amp;E$15,PriceChangeData!$F:$F,0)),0)+E226,"")</f>
        <v/>
      </c>
      <c r="F227" s="11" t="str">
        <f>IF(AND($C227&lt;&gt;"",F$15&lt;&gt;""),IFERROR(INDEX(PriceChangeData!$C:$C,MATCH($C227&amp;F$15,PriceChangeData!$F:$F,0)),0)+F226,"")</f>
        <v/>
      </c>
      <c r="G227" s="11" t="str">
        <f>IF(AND($C227&lt;&gt;"",G$15&lt;&gt;""),IFERROR(INDEX(PriceChangeData!$C:$C,MATCH($C227&amp;G$15,PriceChangeData!$F:$F,0)),0)+G226,"")</f>
        <v/>
      </c>
      <c r="H227" s="19" t="str">
        <f>IF(AND($C227&lt;&gt;"",H$15&lt;&gt;""),IFERROR(INDEX(PriceChangeData!$C:$C,MATCH($C227&amp;H$15,PriceChangeData!$F:$F,0)),0)+H226,"")</f>
        <v/>
      </c>
    </row>
    <row r="228" spans="3:8" x14ac:dyDescent="0.25">
      <c r="C228" s="18">
        <f t="shared" si="5"/>
        <v>43413</v>
      </c>
      <c r="D228" s="10">
        <f>IF(AND($C228&lt;&gt;"",D$15&lt;&gt;""),IFERROR(INDEX(PriceChangeData!$C:$C,MATCH($C228&amp;D$15,PriceChangeData!$F:$F,0)),0)+D227,"")</f>
        <v>-2.2076997174262824E-2</v>
      </c>
      <c r="E228" s="11" t="str">
        <f>IF(AND($C228&lt;&gt;"",E$15&lt;&gt;""),IFERROR(INDEX(PriceChangeData!$C:$C,MATCH($C228&amp;E$15,PriceChangeData!$F:$F,0)),0)+E227,"")</f>
        <v/>
      </c>
      <c r="F228" s="11" t="str">
        <f>IF(AND($C228&lt;&gt;"",F$15&lt;&gt;""),IFERROR(INDEX(PriceChangeData!$C:$C,MATCH($C228&amp;F$15,PriceChangeData!$F:$F,0)),0)+F227,"")</f>
        <v/>
      </c>
      <c r="G228" s="11" t="str">
        <f>IF(AND($C228&lt;&gt;"",G$15&lt;&gt;""),IFERROR(INDEX(PriceChangeData!$C:$C,MATCH($C228&amp;G$15,PriceChangeData!$F:$F,0)),0)+G227,"")</f>
        <v/>
      </c>
      <c r="H228" s="19" t="str">
        <f>IF(AND($C228&lt;&gt;"",H$15&lt;&gt;""),IFERROR(INDEX(PriceChangeData!$C:$C,MATCH($C228&amp;H$15,PriceChangeData!$F:$F,0)),0)+H227,"")</f>
        <v/>
      </c>
    </row>
    <row r="229" spans="3:8" x14ac:dyDescent="0.25">
      <c r="C229" s="18">
        <f t="shared" si="5"/>
        <v>43414</v>
      </c>
      <c r="D229" s="10">
        <f>IF(AND($C229&lt;&gt;"",D$15&lt;&gt;""),IFERROR(INDEX(PriceChangeData!$C:$C,MATCH($C229&amp;D$15,PriceChangeData!$F:$F,0)),0)+D228,"")</f>
        <v>-2.2076997174262824E-2</v>
      </c>
      <c r="E229" s="11" t="str">
        <f>IF(AND($C229&lt;&gt;"",E$15&lt;&gt;""),IFERROR(INDEX(PriceChangeData!$C:$C,MATCH($C229&amp;E$15,PriceChangeData!$F:$F,0)),0)+E228,"")</f>
        <v/>
      </c>
      <c r="F229" s="11" t="str">
        <f>IF(AND($C229&lt;&gt;"",F$15&lt;&gt;""),IFERROR(INDEX(PriceChangeData!$C:$C,MATCH($C229&amp;F$15,PriceChangeData!$F:$F,0)),0)+F228,"")</f>
        <v/>
      </c>
      <c r="G229" s="11" t="str">
        <f>IF(AND($C229&lt;&gt;"",G$15&lt;&gt;""),IFERROR(INDEX(PriceChangeData!$C:$C,MATCH($C229&amp;G$15,PriceChangeData!$F:$F,0)),0)+G228,"")</f>
        <v/>
      </c>
      <c r="H229" s="19" t="str">
        <f>IF(AND($C229&lt;&gt;"",H$15&lt;&gt;""),IFERROR(INDEX(PriceChangeData!$C:$C,MATCH($C229&amp;H$15,PriceChangeData!$F:$F,0)),0)+H228,"")</f>
        <v/>
      </c>
    </row>
    <row r="230" spans="3:8" x14ac:dyDescent="0.25">
      <c r="C230" s="18">
        <f t="shared" si="5"/>
        <v>43415</v>
      </c>
      <c r="D230" s="10">
        <f>IF(AND($C230&lt;&gt;"",D$15&lt;&gt;""),IFERROR(INDEX(PriceChangeData!$C:$C,MATCH($C230&amp;D$15,PriceChangeData!$F:$F,0)),0)+D229,"")</f>
        <v>-2.2076997174262824E-2</v>
      </c>
      <c r="E230" s="11" t="str">
        <f>IF(AND($C230&lt;&gt;"",E$15&lt;&gt;""),IFERROR(INDEX(PriceChangeData!$C:$C,MATCH($C230&amp;E$15,PriceChangeData!$F:$F,0)),0)+E229,"")</f>
        <v/>
      </c>
      <c r="F230" s="11" t="str">
        <f>IF(AND($C230&lt;&gt;"",F$15&lt;&gt;""),IFERROR(INDEX(PriceChangeData!$C:$C,MATCH($C230&amp;F$15,PriceChangeData!$F:$F,0)),0)+F229,"")</f>
        <v/>
      </c>
      <c r="G230" s="11" t="str">
        <f>IF(AND($C230&lt;&gt;"",G$15&lt;&gt;""),IFERROR(INDEX(PriceChangeData!$C:$C,MATCH($C230&amp;G$15,PriceChangeData!$F:$F,0)),0)+G229,"")</f>
        <v/>
      </c>
      <c r="H230" s="19" t="str">
        <f>IF(AND($C230&lt;&gt;"",H$15&lt;&gt;""),IFERROR(INDEX(PriceChangeData!$C:$C,MATCH($C230&amp;H$15,PriceChangeData!$F:$F,0)),0)+H229,"")</f>
        <v/>
      </c>
    </row>
    <row r="231" spans="3:8" x14ac:dyDescent="0.25">
      <c r="C231" s="18">
        <f t="shared" si="5"/>
        <v>43416</v>
      </c>
      <c r="D231" s="10">
        <f>IF(AND($C231&lt;&gt;"",D$15&lt;&gt;""),IFERROR(INDEX(PriceChangeData!$C:$C,MATCH($C231&amp;D$15,PriceChangeData!$F:$F,0)),0)+D230,"")</f>
        <v>-1.1991696099837692E-2</v>
      </c>
      <c r="E231" s="11" t="str">
        <f>IF(AND($C231&lt;&gt;"",E$15&lt;&gt;""),IFERROR(INDEX(PriceChangeData!$C:$C,MATCH($C231&amp;E$15,PriceChangeData!$F:$F,0)),0)+E230,"")</f>
        <v/>
      </c>
      <c r="F231" s="11" t="str">
        <f>IF(AND($C231&lt;&gt;"",F$15&lt;&gt;""),IFERROR(INDEX(PriceChangeData!$C:$C,MATCH($C231&amp;F$15,PriceChangeData!$F:$F,0)),0)+F230,"")</f>
        <v/>
      </c>
      <c r="G231" s="11" t="str">
        <f>IF(AND($C231&lt;&gt;"",G$15&lt;&gt;""),IFERROR(INDEX(PriceChangeData!$C:$C,MATCH($C231&amp;G$15,PriceChangeData!$F:$F,0)),0)+G230,"")</f>
        <v/>
      </c>
      <c r="H231" s="19" t="str">
        <f>IF(AND($C231&lt;&gt;"",H$15&lt;&gt;""),IFERROR(INDEX(PriceChangeData!$C:$C,MATCH($C231&amp;H$15,PriceChangeData!$F:$F,0)),0)+H230,"")</f>
        <v/>
      </c>
    </row>
    <row r="232" spans="3:8" x14ac:dyDescent="0.25">
      <c r="C232" s="18">
        <f t="shared" si="5"/>
        <v>43417</v>
      </c>
      <c r="D232" s="10">
        <f>IF(AND($C232&lt;&gt;"",D$15&lt;&gt;""),IFERROR(INDEX(PriceChangeData!$C:$C,MATCH($C232&amp;D$15,PriceChangeData!$F:$F,0)),0)+D231,"")</f>
        <v>-2.8517405264306898E-2</v>
      </c>
      <c r="E232" s="11" t="str">
        <f>IF(AND($C232&lt;&gt;"",E$15&lt;&gt;""),IFERROR(INDEX(PriceChangeData!$C:$C,MATCH($C232&amp;E$15,PriceChangeData!$F:$F,0)),0)+E231,"")</f>
        <v/>
      </c>
      <c r="F232" s="11" t="str">
        <f>IF(AND($C232&lt;&gt;"",F$15&lt;&gt;""),IFERROR(INDEX(PriceChangeData!$C:$C,MATCH($C232&amp;F$15,PriceChangeData!$F:$F,0)),0)+F231,"")</f>
        <v/>
      </c>
      <c r="G232" s="11" t="str">
        <f>IF(AND($C232&lt;&gt;"",G$15&lt;&gt;""),IFERROR(INDEX(PriceChangeData!$C:$C,MATCH($C232&amp;G$15,PriceChangeData!$F:$F,0)),0)+G231,"")</f>
        <v/>
      </c>
      <c r="H232" s="19" t="str">
        <f>IF(AND($C232&lt;&gt;"",H$15&lt;&gt;""),IFERROR(INDEX(PriceChangeData!$C:$C,MATCH($C232&amp;H$15,PriceChangeData!$F:$F,0)),0)+H231,"")</f>
        <v/>
      </c>
    </row>
    <row r="233" spans="3:8" x14ac:dyDescent="0.25">
      <c r="C233" s="18">
        <f t="shared" si="5"/>
        <v>43418</v>
      </c>
      <c r="D233" s="10">
        <f>IF(AND($C233&lt;&gt;"",D$15&lt;&gt;""),IFERROR(INDEX(PriceChangeData!$C:$C,MATCH($C233&amp;D$15,PriceChangeData!$F:$F,0)),0)+D232,"")</f>
        <v>-2.749785773348927E-2</v>
      </c>
      <c r="E233" s="11" t="str">
        <f>IF(AND($C233&lt;&gt;"",E$15&lt;&gt;""),IFERROR(INDEX(PriceChangeData!$C:$C,MATCH($C233&amp;E$15,PriceChangeData!$F:$F,0)),0)+E232,"")</f>
        <v/>
      </c>
      <c r="F233" s="11" t="str">
        <f>IF(AND($C233&lt;&gt;"",F$15&lt;&gt;""),IFERROR(INDEX(PriceChangeData!$C:$C,MATCH($C233&amp;F$15,PriceChangeData!$F:$F,0)),0)+F232,"")</f>
        <v/>
      </c>
      <c r="G233" s="11" t="str">
        <f>IF(AND($C233&lt;&gt;"",G$15&lt;&gt;""),IFERROR(INDEX(PriceChangeData!$C:$C,MATCH($C233&amp;G$15,PriceChangeData!$F:$F,0)),0)+G232,"")</f>
        <v/>
      </c>
      <c r="H233" s="19" t="str">
        <f>IF(AND($C233&lt;&gt;"",H$15&lt;&gt;""),IFERROR(INDEX(PriceChangeData!$C:$C,MATCH($C233&amp;H$15,PriceChangeData!$F:$F,0)),0)+H232,"")</f>
        <v/>
      </c>
    </row>
    <row r="234" spans="3:8" x14ac:dyDescent="0.25">
      <c r="C234" s="18">
        <f t="shared" si="5"/>
        <v>43419</v>
      </c>
      <c r="D234" s="10">
        <f>IF(AND($C234&lt;&gt;"",D$15&lt;&gt;""),IFERROR(INDEX(PriceChangeData!$C:$C,MATCH($C234&amp;D$15,PriceChangeData!$F:$F,0)),0)+D233,"")</f>
        <v>-6.9863718664715663E-3</v>
      </c>
      <c r="E234" s="11" t="str">
        <f>IF(AND($C234&lt;&gt;"",E$15&lt;&gt;""),IFERROR(INDEX(PriceChangeData!$C:$C,MATCH($C234&amp;E$15,PriceChangeData!$F:$F,0)),0)+E233,"")</f>
        <v/>
      </c>
      <c r="F234" s="11" t="str">
        <f>IF(AND($C234&lt;&gt;"",F$15&lt;&gt;""),IFERROR(INDEX(PriceChangeData!$C:$C,MATCH($C234&amp;F$15,PriceChangeData!$F:$F,0)),0)+F233,"")</f>
        <v/>
      </c>
      <c r="G234" s="11" t="str">
        <f>IF(AND($C234&lt;&gt;"",G$15&lt;&gt;""),IFERROR(INDEX(PriceChangeData!$C:$C,MATCH($C234&amp;G$15,PriceChangeData!$F:$F,0)),0)+G233,"")</f>
        <v/>
      </c>
      <c r="H234" s="19" t="str">
        <f>IF(AND($C234&lt;&gt;"",H$15&lt;&gt;""),IFERROR(INDEX(PriceChangeData!$C:$C,MATCH($C234&amp;H$15,PriceChangeData!$F:$F,0)),0)+H233,"")</f>
        <v/>
      </c>
    </row>
    <row r="235" spans="3:8" x14ac:dyDescent="0.25">
      <c r="C235" s="18">
        <f t="shared" si="5"/>
        <v>43420</v>
      </c>
      <c r="D235" s="10">
        <f>IF(AND($C235&lt;&gt;"",D$15&lt;&gt;""),IFERROR(INDEX(PriceChangeData!$C:$C,MATCH($C235&amp;D$15,PriceChangeData!$F:$F,0)),0)+D234,"")</f>
        <v>8.3157422384965273E-3</v>
      </c>
      <c r="E235" s="11" t="str">
        <f>IF(AND($C235&lt;&gt;"",E$15&lt;&gt;""),IFERROR(INDEX(PriceChangeData!$C:$C,MATCH($C235&amp;E$15,PriceChangeData!$F:$F,0)),0)+E234,"")</f>
        <v/>
      </c>
      <c r="F235" s="11" t="str">
        <f>IF(AND($C235&lt;&gt;"",F$15&lt;&gt;""),IFERROR(INDEX(PriceChangeData!$C:$C,MATCH($C235&amp;F$15,PriceChangeData!$F:$F,0)),0)+F234,"")</f>
        <v/>
      </c>
      <c r="G235" s="11" t="str">
        <f>IF(AND($C235&lt;&gt;"",G$15&lt;&gt;""),IFERROR(INDEX(PriceChangeData!$C:$C,MATCH($C235&amp;G$15,PriceChangeData!$F:$F,0)),0)+G234,"")</f>
        <v/>
      </c>
      <c r="H235" s="19" t="str">
        <f>IF(AND($C235&lt;&gt;"",H$15&lt;&gt;""),IFERROR(INDEX(PriceChangeData!$C:$C,MATCH($C235&amp;H$15,PriceChangeData!$F:$F,0)),0)+H234,"")</f>
        <v/>
      </c>
    </row>
    <row r="236" spans="3:8" x14ac:dyDescent="0.25">
      <c r="C236" s="18">
        <f t="shared" si="5"/>
        <v>43421</v>
      </c>
      <c r="D236" s="10">
        <f>IF(AND($C236&lt;&gt;"",D$15&lt;&gt;""),IFERROR(INDEX(PriceChangeData!$C:$C,MATCH($C236&amp;D$15,PriceChangeData!$F:$F,0)),0)+D235,"")</f>
        <v>8.3157422384965273E-3</v>
      </c>
      <c r="E236" s="11" t="str">
        <f>IF(AND($C236&lt;&gt;"",E$15&lt;&gt;""),IFERROR(INDEX(PriceChangeData!$C:$C,MATCH($C236&amp;E$15,PriceChangeData!$F:$F,0)),0)+E235,"")</f>
        <v/>
      </c>
      <c r="F236" s="11" t="str">
        <f>IF(AND($C236&lt;&gt;"",F$15&lt;&gt;""),IFERROR(INDEX(PriceChangeData!$C:$C,MATCH($C236&amp;F$15,PriceChangeData!$F:$F,0)),0)+F235,"")</f>
        <v/>
      </c>
      <c r="G236" s="11" t="str">
        <f>IF(AND($C236&lt;&gt;"",G$15&lt;&gt;""),IFERROR(INDEX(PriceChangeData!$C:$C,MATCH($C236&amp;G$15,PriceChangeData!$F:$F,0)),0)+G235,"")</f>
        <v/>
      </c>
      <c r="H236" s="19" t="str">
        <f>IF(AND($C236&lt;&gt;"",H$15&lt;&gt;""),IFERROR(INDEX(PriceChangeData!$C:$C,MATCH($C236&amp;H$15,PriceChangeData!$F:$F,0)),0)+H235,"")</f>
        <v/>
      </c>
    </row>
    <row r="237" spans="3:8" x14ac:dyDescent="0.25">
      <c r="C237" s="18">
        <f t="shared" si="5"/>
        <v>43422</v>
      </c>
      <c r="D237" s="10">
        <f>IF(AND($C237&lt;&gt;"",D$15&lt;&gt;""),IFERROR(INDEX(PriceChangeData!$C:$C,MATCH($C237&amp;D$15,PriceChangeData!$F:$F,0)),0)+D236,"")</f>
        <v>8.3157422384965273E-3</v>
      </c>
      <c r="E237" s="11" t="str">
        <f>IF(AND($C237&lt;&gt;"",E$15&lt;&gt;""),IFERROR(INDEX(PriceChangeData!$C:$C,MATCH($C237&amp;E$15,PriceChangeData!$F:$F,0)),0)+E236,"")</f>
        <v/>
      </c>
      <c r="F237" s="11" t="str">
        <f>IF(AND($C237&lt;&gt;"",F$15&lt;&gt;""),IFERROR(INDEX(PriceChangeData!$C:$C,MATCH($C237&amp;F$15,PriceChangeData!$F:$F,0)),0)+F236,"")</f>
        <v/>
      </c>
      <c r="G237" s="11" t="str">
        <f>IF(AND($C237&lt;&gt;"",G$15&lt;&gt;""),IFERROR(INDEX(PriceChangeData!$C:$C,MATCH($C237&amp;G$15,PriceChangeData!$F:$F,0)),0)+G236,"")</f>
        <v/>
      </c>
      <c r="H237" s="19" t="str">
        <f>IF(AND($C237&lt;&gt;"",H$15&lt;&gt;""),IFERROR(INDEX(PriceChangeData!$C:$C,MATCH($C237&amp;H$15,PriceChangeData!$F:$F,0)),0)+H236,"")</f>
        <v/>
      </c>
    </row>
    <row r="238" spans="3:8" x14ac:dyDescent="0.25">
      <c r="C238" s="18">
        <f t="shared" si="5"/>
        <v>43423</v>
      </c>
      <c r="D238" s="10">
        <f>IF(AND($C238&lt;&gt;"",D$15&lt;&gt;""),IFERROR(INDEX(PriceChangeData!$C:$C,MATCH($C238&amp;D$15,PriceChangeData!$F:$F,0)),0)+D237,"")</f>
        <v>-1.4335210589407043E-2</v>
      </c>
      <c r="E238" s="11" t="str">
        <f>IF(AND($C238&lt;&gt;"",E$15&lt;&gt;""),IFERROR(INDEX(PriceChangeData!$C:$C,MATCH($C238&amp;E$15,PriceChangeData!$F:$F,0)),0)+E237,"")</f>
        <v/>
      </c>
      <c r="F238" s="11" t="str">
        <f>IF(AND($C238&lt;&gt;"",F$15&lt;&gt;""),IFERROR(INDEX(PriceChangeData!$C:$C,MATCH($C238&amp;F$15,PriceChangeData!$F:$F,0)),0)+F237,"")</f>
        <v/>
      </c>
      <c r="G238" s="11" t="str">
        <f>IF(AND($C238&lt;&gt;"",G$15&lt;&gt;""),IFERROR(INDEX(PriceChangeData!$C:$C,MATCH($C238&amp;G$15,PriceChangeData!$F:$F,0)),0)+G237,"")</f>
        <v/>
      </c>
      <c r="H238" s="19" t="str">
        <f>IF(AND($C238&lt;&gt;"",H$15&lt;&gt;""),IFERROR(INDEX(PriceChangeData!$C:$C,MATCH($C238&amp;H$15,PriceChangeData!$F:$F,0)),0)+H237,"")</f>
        <v/>
      </c>
    </row>
    <row r="239" spans="3:8" x14ac:dyDescent="0.25">
      <c r="C239" s="18">
        <f t="shared" si="5"/>
        <v>43424</v>
      </c>
      <c r="D239" s="10">
        <f>IF(AND($C239&lt;&gt;"",D$15&lt;&gt;""),IFERROR(INDEX(PriceChangeData!$C:$C,MATCH($C239&amp;D$15,PriceChangeData!$F:$F,0)),0)+D238,"")</f>
        <v>-2.9991794905687104E-2</v>
      </c>
      <c r="E239" s="11" t="str">
        <f>IF(AND($C239&lt;&gt;"",E$15&lt;&gt;""),IFERROR(INDEX(PriceChangeData!$C:$C,MATCH($C239&amp;E$15,PriceChangeData!$F:$F,0)),0)+E238,"")</f>
        <v/>
      </c>
      <c r="F239" s="11" t="str">
        <f>IF(AND($C239&lt;&gt;"",F$15&lt;&gt;""),IFERROR(INDEX(PriceChangeData!$C:$C,MATCH($C239&amp;F$15,PriceChangeData!$F:$F,0)),0)+F238,"")</f>
        <v/>
      </c>
      <c r="G239" s="11" t="str">
        <f>IF(AND($C239&lt;&gt;"",G$15&lt;&gt;""),IFERROR(INDEX(PriceChangeData!$C:$C,MATCH($C239&amp;G$15,PriceChangeData!$F:$F,0)),0)+G238,"")</f>
        <v/>
      </c>
      <c r="H239" s="19" t="str">
        <f>IF(AND($C239&lt;&gt;"",H$15&lt;&gt;""),IFERROR(INDEX(PriceChangeData!$C:$C,MATCH($C239&amp;H$15,PriceChangeData!$F:$F,0)),0)+H238,"")</f>
        <v/>
      </c>
    </row>
    <row r="240" spans="3:8" x14ac:dyDescent="0.25">
      <c r="C240" s="18">
        <f t="shared" si="5"/>
        <v>43425</v>
      </c>
      <c r="D240" s="10">
        <f>IF(AND($C240&lt;&gt;"",D$15&lt;&gt;""),IFERROR(INDEX(PriceChangeData!$C:$C,MATCH($C240&amp;D$15,PriceChangeData!$F:$F,0)),0)+D239,"")</f>
        <v>-5.2260910677259492E-2</v>
      </c>
      <c r="E240" s="11" t="str">
        <f>IF(AND($C240&lt;&gt;"",E$15&lt;&gt;""),IFERROR(INDEX(PriceChangeData!$C:$C,MATCH($C240&amp;E$15,PriceChangeData!$F:$F,0)),0)+E239,"")</f>
        <v/>
      </c>
      <c r="F240" s="11" t="str">
        <f>IF(AND($C240&lt;&gt;"",F$15&lt;&gt;""),IFERROR(INDEX(PriceChangeData!$C:$C,MATCH($C240&amp;F$15,PriceChangeData!$F:$F,0)),0)+F239,"")</f>
        <v/>
      </c>
      <c r="G240" s="11" t="str">
        <f>IF(AND($C240&lt;&gt;"",G$15&lt;&gt;""),IFERROR(INDEX(PriceChangeData!$C:$C,MATCH($C240&amp;G$15,PriceChangeData!$F:$F,0)),0)+G239,"")</f>
        <v/>
      </c>
      <c r="H240" s="19" t="str">
        <f>IF(AND($C240&lt;&gt;"",H$15&lt;&gt;""),IFERROR(INDEX(PriceChangeData!$C:$C,MATCH($C240&amp;H$15,PriceChangeData!$F:$F,0)),0)+H239,"")</f>
        <v/>
      </c>
    </row>
    <row r="241" spans="3:8" x14ac:dyDescent="0.25">
      <c r="C241" s="18">
        <f t="shared" si="5"/>
        <v>43426</v>
      </c>
      <c r="D241" s="10">
        <f>IF(AND($C241&lt;&gt;"",D$15&lt;&gt;""),IFERROR(INDEX(PriceChangeData!$C:$C,MATCH($C241&amp;D$15,PriceChangeData!$F:$F,0)),0)+D240,"")</f>
        <v>-5.2260910677259492E-2</v>
      </c>
      <c r="E241" s="11" t="str">
        <f>IF(AND($C241&lt;&gt;"",E$15&lt;&gt;""),IFERROR(INDEX(PriceChangeData!$C:$C,MATCH($C241&amp;E$15,PriceChangeData!$F:$F,0)),0)+E240,"")</f>
        <v/>
      </c>
      <c r="F241" s="11" t="str">
        <f>IF(AND($C241&lt;&gt;"",F$15&lt;&gt;""),IFERROR(INDEX(PriceChangeData!$C:$C,MATCH($C241&amp;F$15,PriceChangeData!$F:$F,0)),0)+F240,"")</f>
        <v/>
      </c>
      <c r="G241" s="11" t="str">
        <f>IF(AND($C241&lt;&gt;"",G$15&lt;&gt;""),IFERROR(INDEX(PriceChangeData!$C:$C,MATCH($C241&amp;G$15,PriceChangeData!$F:$F,0)),0)+G240,"")</f>
        <v/>
      </c>
      <c r="H241" s="19" t="str">
        <f>IF(AND($C241&lt;&gt;"",H$15&lt;&gt;""),IFERROR(INDEX(PriceChangeData!$C:$C,MATCH($C241&amp;H$15,PriceChangeData!$F:$F,0)),0)+H240,"")</f>
        <v/>
      </c>
    </row>
    <row r="242" spans="3:8" x14ac:dyDescent="0.25">
      <c r="C242" s="18">
        <f t="shared" si="5"/>
        <v>43427</v>
      </c>
      <c r="D242" s="10">
        <f>IF(AND($C242&lt;&gt;"",D$15&lt;&gt;""),IFERROR(INDEX(PriceChangeData!$C:$C,MATCH($C242&amp;D$15,PriceChangeData!$F:$F,0)),0)+D241,"")</f>
        <v>-5.83151888668728E-2</v>
      </c>
      <c r="E242" s="11" t="str">
        <f>IF(AND($C242&lt;&gt;"",E$15&lt;&gt;""),IFERROR(INDEX(PriceChangeData!$C:$C,MATCH($C242&amp;E$15,PriceChangeData!$F:$F,0)),0)+E241,"")</f>
        <v/>
      </c>
      <c r="F242" s="11" t="str">
        <f>IF(AND($C242&lt;&gt;"",F$15&lt;&gt;""),IFERROR(INDEX(PriceChangeData!$C:$C,MATCH($C242&amp;F$15,PriceChangeData!$F:$F,0)),0)+F241,"")</f>
        <v/>
      </c>
      <c r="G242" s="11" t="str">
        <f>IF(AND($C242&lt;&gt;"",G$15&lt;&gt;""),IFERROR(INDEX(PriceChangeData!$C:$C,MATCH($C242&amp;G$15,PriceChangeData!$F:$F,0)),0)+G241,"")</f>
        <v/>
      </c>
      <c r="H242" s="19" t="str">
        <f>IF(AND($C242&lt;&gt;"",H$15&lt;&gt;""),IFERROR(INDEX(PriceChangeData!$C:$C,MATCH($C242&amp;H$15,PriceChangeData!$F:$F,0)),0)+H241,"")</f>
        <v/>
      </c>
    </row>
    <row r="243" spans="3:8" x14ac:dyDescent="0.25">
      <c r="C243" s="18">
        <f t="shared" si="5"/>
        <v>43428</v>
      </c>
      <c r="D243" s="10">
        <f>IF(AND($C243&lt;&gt;"",D$15&lt;&gt;""),IFERROR(INDEX(PriceChangeData!$C:$C,MATCH($C243&amp;D$15,PriceChangeData!$F:$F,0)),0)+D242,"")</f>
        <v>-5.83151888668728E-2</v>
      </c>
      <c r="E243" s="11" t="str">
        <f>IF(AND($C243&lt;&gt;"",E$15&lt;&gt;""),IFERROR(INDEX(PriceChangeData!$C:$C,MATCH($C243&amp;E$15,PriceChangeData!$F:$F,0)),0)+E242,"")</f>
        <v/>
      </c>
      <c r="F243" s="11" t="str">
        <f>IF(AND($C243&lt;&gt;"",F$15&lt;&gt;""),IFERROR(INDEX(PriceChangeData!$C:$C,MATCH($C243&amp;F$15,PriceChangeData!$F:$F,0)),0)+F242,"")</f>
        <v/>
      </c>
      <c r="G243" s="11" t="str">
        <f>IF(AND($C243&lt;&gt;"",G$15&lt;&gt;""),IFERROR(INDEX(PriceChangeData!$C:$C,MATCH($C243&amp;G$15,PriceChangeData!$F:$F,0)),0)+G242,"")</f>
        <v/>
      </c>
      <c r="H243" s="19" t="str">
        <f>IF(AND($C243&lt;&gt;"",H$15&lt;&gt;""),IFERROR(INDEX(PriceChangeData!$C:$C,MATCH($C243&amp;H$15,PriceChangeData!$F:$F,0)),0)+H242,"")</f>
        <v/>
      </c>
    </row>
    <row r="244" spans="3:8" x14ac:dyDescent="0.25">
      <c r="C244" s="18">
        <f t="shared" si="5"/>
        <v>43429</v>
      </c>
      <c r="D244" s="10">
        <f>IF(AND($C244&lt;&gt;"",D$15&lt;&gt;""),IFERROR(INDEX(PriceChangeData!$C:$C,MATCH($C244&amp;D$15,PriceChangeData!$F:$F,0)),0)+D243,"")</f>
        <v>-5.83151888668728E-2</v>
      </c>
      <c r="E244" s="11" t="str">
        <f>IF(AND($C244&lt;&gt;"",E$15&lt;&gt;""),IFERROR(INDEX(PriceChangeData!$C:$C,MATCH($C244&amp;E$15,PriceChangeData!$F:$F,0)),0)+E243,"")</f>
        <v/>
      </c>
      <c r="F244" s="11" t="str">
        <f>IF(AND($C244&lt;&gt;"",F$15&lt;&gt;""),IFERROR(INDEX(PriceChangeData!$C:$C,MATCH($C244&amp;F$15,PriceChangeData!$F:$F,0)),0)+F243,"")</f>
        <v/>
      </c>
      <c r="G244" s="11" t="str">
        <f>IF(AND($C244&lt;&gt;"",G$15&lt;&gt;""),IFERROR(INDEX(PriceChangeData!$C:$C,MATCH($C244&amp;G$15,PriceChangeData!$F:$F,0)),0)+G243,"")</f>
        <v/>
      </c>
      <c r="H244" s="19" t="str">
        <f>IF(AND($C244&lt;&gt;"",H$15&lt;&gt;""),IFERROR(INDEX(PriceChangeData!$C:$C,MATCH($C244&amp;H$15,PriceChangeData!$F:$F,0)),0)+H243,"")</f>
        <v/>
      </c>
    </row>
    <row r="245" spans="3:8" x14ac:dyDescent="0.25">
      <c r="C245" s="18">
        <f t="shared" si="5"/>
        <v>43430</v>
      </c>
      <c r="D245" s="10">
        <f>IF(AND($C245&lt;&gt;"",D$15&lt;&gt;""),IFERROR(INDEX(PriceChangeData!$C:$C,MATCH($C245&amp;D$15,PriceChangeData!$F:$F,0)),0)+D244,"")</f>
        <v>-5.1216878622599833E-2</v>
      </c>
      <c r="E245" s="11" t="str">
        <f>IF(AND($C245&lt;&gt;"",E$15&lt;&gt;""),IFERROR(INDEX(PriceChangeData!$C:$C,MATCH($C245&amp;E$15,PriceChangeData!$F:$F,0)),0)+E244,"")</f>
        <v/>
      </c>
      <c r="F245" s="11" t="str">
        <f>IF(AND($C245&lt;&gt;"",F$15&lt;&gt;""),IFERROR(INDEX(PriceChangeData!$C:$C,MATCH($C245&amp;F$15,PriceChangeData!$F:$F,0)),0)+F244,"")</f>
        <v/>
      </c>
      <c r="G245" s="11" t="str">
        <f>IF(AND($C245&lt;&gt;"",G$15&lt;&gt;""),IFERROR(INDEX(PriceChangeData!$C:$C,MATCH($C245&amp;G$15,PriceChangeData!$F:$F,0)),0)+G244,"")</f>
        <v/>
      </c>
      <c r="H245" s="19" t="str">
        <f>IF(AND($C245&lt;&gt;"",H$15&lt;&gt;""),IFERROR(INDEX(PriceChangeData!$C:$C,MATCH($C245&amp;H$15,PriceChangeData!$F:$F,0)),0)+H244,"")</f>
        <v/>
      </c>
    </row>
    <row r="246" spans="3:8" x14ac:dyDescent="0.25">
      <c r="C246" s="18">
        <f t="shared" si="5"/>
        <v>43431</v>
      </c>
      <c r="D246" s="10">
        <f>IF(AND($C246&lt;&gt;"",D$15&lt;&gt;""),IFERROR(INDEX(PriceChangeData!$C:$C,MATCH($C246&amp;D$15,PriceChangeData!$F:$F,0)),0)+D245,"")</f>
        <v>-3.465661639214547E-2</v>
      </c>
      <c r="E246" s="11" t="str">
        <f>IF(AND($C246&lt;&gt;"",E$15&lt;&gt;""),IFERROR(INDEX(PriceChangeData!$C:$C,MATCH($C246&amp;E$15,PriceChangeData!$F:$F,0)),0)+E245,"")</f>
        <v/>
      </c>
      <c r="F246" s="11" t="str">
        <f>IF(AND($C246&lt;&gt;"",F$15&lt;&gt;""),IFERROR(INDEX(PriceChangeData!$C:$C,MATCH($C246&amp;F$15,PriceChangeData!$F:$F,0)),0)+F245,"")</f>
        <v/>
      </c>
      <c r="G246" s="11" t="str">
        <f>IF(AND($C246&lt;&gt;"",G$15&lt;&gt;""),IFERROR(INDEX(PriceChangeData!$C:$C,MATCH($C246&amp;G$15,PriceChangeData!$F:$F,0)),0)+G245,"")</f>
        <v/>
      </c>
      <c r="H246" s="19" t="str">
        <f>IF(AND($C246&lt;&gt;"",H$15&lt;&gt;""),IFERROR(INDEX(PriceChangeData!$C:$C,MATCH($C246&amp;H$15,PriceChangeData!$F:$F,0)),0)+H245,"")</f>
        <v/>
      </c>
    </row>
    <row r="247" spans="3:8" x14ac:dyDescent="0.25">
      <c r="C247" s="18">
        <f t="shared" si="5"/>
        <v>43432</v>
      </c>
      <c r="D247" s="10">
        <f>IF(AND($C247&lt;&gt;"",D$15&lt;&gt;""),IFERROR(INDEX(PriceChangeData!$C:$C,MATCH($C247&amp;D$15,PriceChangeData!$F:$F,0)),0)+D246,"")</f>
        <v>-2.038884470752449E-2</v>
      </c>
      <c r="E247" s="11" t="str">
        <f>IF(AND($C247&lt;&gt;"",E$15&lt;&gt;""),IFERROR(INDEX(PriceChangeData!$C:$C,MATCH($C247&amp;E$15,PriceChangeData!$F:$F,0)),0)+E246,"")</f>
        <v/>
      </c>
      <c r="F247" s="11" t="str">
        <f>IF(AND($C247&lt;&gt;"",F$15&lt;&gt;""),IFERROR(INDEX(PriceChangeData!$C:$C,MATCH($C247&amp;F$15,PriceChangeData!$F:$F,0)),0)+F246,"")</f>
        <v/>
      </c>
      <c r="G247" s="11" t="str">
        <f>IF(AND($C247&lt;&gt;"",G$15&lt;&gt;""),IFERROR(INDEX(PriceChangeData!$C:$C,MATCH($C247&amp;G$15,PriceChangeData!$F:$F,0)),0)+G246,"")</f>
        <v/>
      </c>
      <c r="H247" s="19" t="str">
        <f>IF(AND($C247&lt;&gt;"",H$15&lt;&gt;""),IFERROR(INDEX(PriceChangeData!$C:$C,MATCH($C247&amp;H$15,PriceChangeData!$F:$F,0)),0)+H246,"")</f>
        <v/>
      </c>
    </row>
    <row r="248" spans="3:8" x14ac:dyDescent="0.25">
      <c r="C248" s="18">
        <f t="shared" si="5"/>
        <v>43433</v>
      </c>
      <c r="D248" s="10">
        <f>IF(AND($C248&lt;&gt;"",D$15&lt;&gt;""),IFERROR(INDEX(PriceChangeData!$C:$C,MATCH($C248&amp;D$15,PriceChangeData!$F:$F,0)),0)+D247,"")</f>
        <v>-9.5410681261582173E-3</v>
      </c>
      <c r="E248" s="11" t="str">
        <f>IF(AND($C248&lt;&gt;"",E$15&lt;&gt;""),IFERROR(INDEX(PriceChangeData!$C:$C,MATCH($C248&amp;E$15,PriceChangeData!$F:$F,0)),0)+E247,"")</f>
        <v/>
      </c>
      <c r="F248" s="11" t="str">
        <f>IF(AND($C248&lt;&gt;"",F$15&lt;&gt;""),IFERROR(INDEX(PriceChangeData!$C:$C,MATCH($C248&amp;F$15,PriceChangeData!$F:$F,0)),0)+F247,"")</f>
        <v/>
      </c>
      <c r="G248" s="11" t="str">
        <f>IF(AND($C248&lt;&gt;"",G$15&lt;&gt;""),IFERROR(INDEX(PriceChangeData!$C:$C,MATCH($C248&amp;G$15,PriceChangeData!$F:$F,0)),0)+G247,"")</f>
        <v/>
      </c>
      <c r="H248" s="19" t="str">
        <f>IF(AND($C248&lt;&gt;"",H$15&lt;&gt;""),IFERROR(INDEX(PriceChangeData!$C:$C,MATCH($C248&amp;H$15,PriceChangeData!$F:$F,0)),0)+H247,"")</f>
        <v/>
      </c>
    </row>
    <row r="249" spans="3:8" x14ac:dyDescent="0.25">
      <c r="C249" s="18">
        <f t="shared" si="5"/>
        <v>43434</v>
      </c>
      <c r="D249" s="10">
        <f>IF(AND($C249&lt;&gt;"",D$15&lt;&gt;""),IFERROR(INDEX(PriceChangeData!$C:$C,MATCH($C249&amp;D$15,PriceChangeData!$F:$F,0)),0)+D248,"")</f>
        <v>3.7811944294893568E-2</v>
      </c>
      <c r="E249" s="11" t="str">
        <f>IF(AND($C249&lt;&gt;"",E$15&lt;&gt;""),IFERROR(INDEX(PriceChangeData!$C:$C,MATCH($C249&amp;E$15,PriceChangeData!$F:$F,0)),0)+E248,"")</f>
        <v/>
      </c>
      <c r="F249" s="11" t="str">
        <f>IF(AND($C249&lt;&gt;"",F$15&lt;&gt;""),IFERROR(INDEX(PriceChangeData!$C:$C,MATCH($C249&amp;F$15,PriceChangeData!$F:$F,0)),0)+F248,"")</f>
        <v/>
      </c>
      <c r="G249" s="11" t="str">
        <f>IF(AND($C249&lt;&gt;"",G$15&lt;&gt;""),IFERROR(INDEX(PriceChangeData!$C:$C,MATCH($C249&amp;G$15,PriceChangeData!$F:$F,0)),0)+G248,"")</f>
        <v/>
      </c>
      <c r="H249" s="19" t="str">
        <f>IF(AND($C249&lt;&gt;"",H$15&lt;&gt;""),IFERROR(INDEX(PriceChangeData!$C:$C,MATCH($C249&amp;H$15,PriceChangeData!$F:$F,0)),0)+H248,"")</f>
        <v/>
      </c>
    </row>
    <row r="250" spans="3:8" x14ac:dyDescent="0.25">
      <c r="C250" s="18">
        <f t="shared" si="5"/>
        <v>43435</v>
      </c>
      <c r="D250" s="10">
        <f>IF(AND($C250&lt;&gt;"",D$15&lt;&gt;""),IFERROR(INDEX(PriceChangeData!$C:$C,MATCH($C250&amp;D$15,PriceChangeData!$F:$F,0)),0)+D249,"")</f>
        <v>3.7811944294893568E-2</v>
      </c>
      <c r="E250" s="11" t="str">
        <f>IF(AND($C250&lt;&gt;"",E$15&lt;&gt;""),IFERROR(INDEX(PriceChangeData!$C:$C,MATCH($C250&amp;E$15,PriceChangeData!$F:$F,0)),0)+E249,"")</f>
        <v/>
      </c>
      <c r="F250" s="11" t="str">
        <f>IF(AND($C250&lt;&gt;"",F$15&lt;&gt;""),IFERROR(INDEX(PriceChangeData!$C:$C,MATCH($C250&amp;F$15,PriceChangeData!$F:$F,0)),0)+F249,"")</f>
        <v/>
      </c>
      <c r="G250" s="11" t="str">
        <f>IF(AND($C250&lt;&gt;"",G$15&lt;&gt;""),IFERROR(INDEX(PriceChangeData!$C:$C,MATCH($C250&amp;G$15,PriceChangeData!$F:$F,0)),0)+G249,"")</f>
        <v/>
      </c>
      <c r="H250" s="19" t="str">
        <f>IF(AND($C250&lt;&gt;"",H$15&lt;&gt;""),IFERROR(INDEX(PriceChangeData!$C:$C,MATCH($C250&amp;H$15,PriceChangeData!$F:$F,0)),0)+H249,"")</f>
        <v/>
      </c>
    </row>
    <row r="251" spans="3:8" x14ac:dyDescent="0.25">
      <c r="C251" s="18">
        <f t="shared" si="5"/>
        <v>43436</v>
      </c>
      <c r="D251" s="10">
        <f>IF(AND($C251&lt;&gt;"",D$15&lt;&gt;""),IFERROR(INDEX(PriceChangeData!$C:$C,MATCH($C251&amp;D$15,PriceChangeData!$F:$F,0)),0)+D250,"")</f>
        <v>3.7811944294893568E-2</v>
      </c>
      <c r="E251" s="11" t="str">
        <f>IF(AND($C251&lt;&gt;"",E$15&lt;&gt;""),IFERROR(INDEX(PriceChangeData!$C:$C,MATCH($C251&amp;E$15,PriceChangeData!$F:$F,0)),0)+E250,"")</f>
        <v/>
      </c>
      <c r="F251" s="11" t="str">
        <f>IF(AND($C251&lt;&gt;"",F$15&lt;&gt;""),IFERROR(INDEX(PriceChangeData!$C:$C,MATCH($C251&amp;F$15,PriceChangeData!$F:$F,0)),0)+F250,"")</f>
        <v/>
      </c>
      <c r="G251" s="11" t="str">
        <f>IF(AND($C251&lt;&gt;"",G$15&lt;&gt;""),IFERROR(INDEX(PriceChangeData!$C:$C,MATCH($C251&amp;G$15,PriceChangeData!$F:$F,0)),0)+G250,"")</f>
        <v/>
      </c>
      <c r="H251" s="19" t="str">
        <f>IF(AND($C251&lt;&gt;"",H$15&lt;&gt;""),IFERROR(INDEX(PriceChangeData!$C:$C,MATCH($C251&amp;H$15,PriceChangeData!$F:$F,0)),0)+H250,"")</f>
        <v/>
      </c>
    </row>
    <row r="252" spans="3:8" x14ac:dyDescent="0.25">
      <c r="C252" s="18">
        <f t="shared" si="5"/>
        <v>43437</v>
      </c>
      <c r="D252" s="10">
        <f>IF(AND($C252&lt;&gt;"",D$15&lt;&gt;""),IFERROR(INDEX(PriceChangeData!$C:$C,MATCH($C252&amp;D$15,PriceChangeData!$F:$F,0)),0)+D251,"")</f>
        <v>3.1320240780918045E-2</v>
      </c>
      <c r="E252" s="11" t="str">
        <f>IF(AND($C252&lt;&gt;"",E$15&lt;&gt;""),IFERROR(INDEX(PriceChangeData!$C:$C,MATCH($C252&amp;E$15,PriceChangeData!$F:$F,0)),0)+E251,"")</f>
        <v/>
      </c>
      <c r="F252" s="11" t="str">
        <f>IF(AND($C252&lt;&gt;"",F$15&lt;&gt;""),IFERROR(INDEX(PriceChangeData!$C:$C,MATCH($C252&amp;F$15,PriceChangeData!$F:$F,0)),0)+F251,"")</f>
        <v/>
      </c>
      <c r="G252" s="11" t="str">
        <f>IF(AND($C252&lt;&gt;"",G$15&lt;&gt;""),IFERROR(INDEX(PriceChangeData!$C:$C,MATCH($C252&amp;G$15,PriceChangeData!$F:$F,0)),0)+G251,"")</f>
        <v/>
      </c>
      <c r="H252" s="19" t="str">
        <f>IF(AND($C252&lt;&gt;"",H$15&lt;&gt;""),IFERROR(INDEX(PriceChangeData!$C:$C,MATCH($C252&amp;H$15,PriceChangeData!$F:$F,0)),0)+H251,"")</f>
        <v/>
      </c>
    </row>
    <row r="253" spans="3:8" x14ac:dyDescent="0.25">
      <c r="C253" s="18">
        <f t="shared" si="5"/>
        <v>43438</v>
      </c>
      <c r="D253" s="10">
        <f>IF(AND($C253&lt;&gt;"",D$15&lt;&gt;""),IFERROR(INDEX(PriceChangeData!$C:$C,MATCH($C253&amp;D$15,PriceChangeData!$F:$F,0)),0)+D252,"")</f>
        <v>-2.4485692911548479E-3</v>
      </c>
      <c r="E253" s="11" t="str">
        <f>IF(AND($C253&lt;&gt;"",E$15&lt;&gt;""),IFERROR(INDEX(PriceChangeData!$C:$C,MATCH($C253&amp;E$15,PriceChangeData!$F:$F,0)),0)+E252,"")</f>
        <v/>
      </c>
      <c r="F253" s="11" t="str">
        <f>IF(AND($C253&lt;&gt;"",F$15&lt;&gt;""),IFERROR(INDEX(PriceChangeData!$C:$C,MATCH($C253&amp;F$15,PriceChangeData!$F:$F,0)),0)+F252,"")</f>
        <v/>
      </c>
      <c r="G253" s="11" t="str">
        <f>IF(AND($C253&lt;&gt;"",G$15&lt;&gt;""),IFERROR(INDEX(PriceChangeData!$C:$C,MATCH($C253&amp;G$15,PriceChangeData!$F:$F,0)),0)+G252,"")</f>
        <v/>
      </c>
      <c r="H253" s="19" t="str">
        <f>IF(AND($C253&lt;&gt;"",H$15&lt;&gt;""),IFERROR(INDEX(PriceChangeData!$C:$C,MATCH($C253&amp;H$15,PriceChangeData!$F:$F,0)),0)+H252,"")</f>
        <v/>
      </c>
    </row>
    <row r="254" spans="3:8" x14ac:dyDescent="0.25">
      <c r="C254" s="18">
        <f t="shared" si="5"/>
        <v>43439</v>
      </c>
      <c r="D254" s="10">
        <f>IF(AND($C254&lt;&gt;"",D$15&lt;&gt;""),IFERROR(INDEX(PriceChangeData!$C:$C,MATCH($C254&amp;D$15,PriceChangeData!$F:$F,0)),0)+D253,"")</f>
        <v>-2.4485692911548479E-3</v>
      </c>
      <c r="E254" s="11" t="str">
        <f>IF(AND($C254&lt;&gt;"",E$15&lt;&gt;""),IFERROR(INDEX(PriceChangeData!$C:$C,MATCH($C254&amp;E$15,PriceChangeData!$F:$F,0)),0)+E253,"")</f>
        <v/>
      </c>
      <c r="F254" s="11" t="str">
        <f>IF(AND($C254&lt;&gt;"",F$15&lt;&gt;""),IFERROR(INDEX(PriceChangeData!$C:$C,MATCH($C254&amp;F$15,PriceChangeData!$F:$F,0)),0)+F253,"")</f>
        <v/>
      </c>
      <c r="G254" s="11" t="str">
        <f>IF(AND($C254&lt;&gt;"",G$15&lt;&gt;""),IFERROR(INDEX(PriceChangeData!$C:$C,MATCH($C254&amp;G$15,PriceChangeData!$F:$F,0)),0)+G253,"")</f>
        <v/>
      </c>
      <c r="H254" s="19" t="str">
        <f>IF(AND($C254&lt;&gt;"",H$15&lt;&gt;""),IFERROR(INDEX(PriceChangeData!$C:$C,MATCH($C254&amp;H$15,PriceChangeData!$F:$F,0)),0)+H253,"")</f>
        <v/>
      </c>
    </row>
    <row r="255" spans="3:8" x14ac:dyDescent="0.25">
      <c r="C255" s="18">
        <f t="shared" si="5"/>
        <v>43440</v>
      </c>
      <c r="D255" s="10">
        <f>IF(AND($C255&lt;&gt;"",D$15&lt;&gt;""),IFERROR(INDEX(PriceChangeData!$C:$C,MATCH($C255&amp;D$15,PriceChangeData!$F:$F,0)),0)+D254,"")</f>
        <v>-4.8807359624140484E-3</v>
      </c>
      <c r="E255" s="11" t="str">
        <f>IF(AND($C255&lt;&gt;"",E$15&lt;&gt;""),IFERROR(INDEX(PriceChangeData!$C:$C,MATCH($C255&amp;E$15,PriceChangeData!$F:$F,0)),0)+E254,"")</f>
        <v/>
      </c>
      <c r="F255" s="11" t="str">
        <f>IF(AND($C255&lt;&gt;"",F$15&lt;&gt;""),IFERROR(INDEX(PriceChangeData!$C:$C,MATCH($C255&amp;F$15,PriceChangeData!$F:$F,0)),0)+F254,"")</f>
        <v/>
      </c>
      <c r="G255" s="11" t="str">
        <f>IF(AND($C255&lt;&gt;"",G$15&lt;&gt;""),IFERROR(INDEX(PriceChangeData!$C:$C,MATCH($C255&amp;G$15,PriceChangeData!$F:$F,0)),0)+G254,"")</f>
        <v/>
      </c>
      <c r="H255" s="19" t="str">
        <f>IF(AND($C255&lt;&gt;"",H$15&lt;&gt;""),IFERROR(INDEX(PriceChangeData!$C:$C,MATCH($C255&amp;H$15,PriceChangeData!$F:$F,0)),0)+H254,"")</f>
        <v/>
      </c>
    </row>
    <row r="256" spans="3:8" x14ac:dyDescent="0.25">
      <c r="C256" s="18">
        <f t="shared" si="5"/>
        <v>43441</v>
      </c>
      <c r="D256" s="10">
        <f>IF(AND($C256&lt;&gt;"",D$15&lt;&gt;""),IFERROR(INDEX(PriceChangeData!$C:$C,MATCH($C256&amp;D$15,PriceChangeData!$F:$F,0)),0)+D255,"")</f>
        <v>-4.2902467613435379E-2</v>
      </c>
      <c r="E256" s="11" t="str">
        <f>IF(AND($C256&lt;&gt;"",E$15&lt;&gt;""),IFERROR(INDEX(PriceChangeData!$C:$C,MATCH($C256&amp;E$15,PriceChangeData!$F:$F,0)),0)+E255,"")</f>
        <v/>
      </c>
      <c r="F256" s="11" t="str">
        <f>IF(AND($C256&lt;&gt;"",F$15&lt;&gt;""),IFERROR(INDEX(PriceChangeData!$C:$C,MATCH($C256&amp;F$15,PriceChangeData!$F:$F,0)),0)+F255,"")</f>
        <v/>
      </c>
      <c r="G256" s="11" t="str">
        <f>IF(AND($C256&lt;&gt;"",G$15&lt;&gt;""),IFERROR(INDEX(PriceChangeData!$C:$C,MATCH($C256&amp;G$15,PriceChangeData!$F:$F,0)),0)+G255,"")</f>
        <v/>
      </c>
      <c r="H256" s="19" t="str">
        <f>IF(AND($C256&lt;&gt;"",H$15&lt;&gt;""),IFERROR(INDEX(PriceChangeData!$C:$C,MATCH($C256&amp;H$15,PriceChangeData!$F:$F,0)),0)+H255,"")</f>
        <v/>
      </c>
    </row>
    <row r="257" spans="3:8" x14ac:dyDescent="0.25">
      <c r="C257" s="18">
        <f t="shared" si="5"/>
        <v>43442</v>
      </c>
      <c r="D257" s="10">
        <f>IF(AND($C257&lt;&gt;"",D$15&lt;&gt;""),IFERROR(INDEX(PriceChangeData!$C:$C,MATCH($C257&amp;D$15,PriceChangeData!$F:$F,0)),0)+D256,"")</f>
        <v>-4.2902467613435379E-2</v>
      </c>
      <c r="E257" s="11" t="str">
        <f>IF(AND($C257&lt;&gt;"",E$15&lt;&gt;""),IFERROR(INDEX(PriceChangeData!$C:$C,MATCH($C257&amp;E$15,PriceChangeData!$F:$F,0)),0)+E256,"")</f>
        <v/>
      </c>
      <c r="F257" s="11" t="str">
        <f>IF(AND($C257&lt;&gt;"",F$15&lt;&gt;""),IFERROR(INDEX(PriceChangeData!$C:$C,MATCH($C257&amp;F$15,PriceChangeData!$F:$F,0)),0)+F256,"")</f>
        <v/>
      </c>
      <c r="G257" s="11" t="str">
        <f>IF(AND($C257&lt;&gt;"",G$15&lt;&gt;""),IFERROR(INDEX(PriceChangeData!$C:$C,MATCH($C257&amp;G$15,PriceChangeData!$F:$F,0)),0)+G256,"")</f>
        <v/>
      </c>
      <c r="H257" s="19" t="str">
        <f>IF(AND($C257&lt;&gt;"",H$15&lt;&gt;""),IFERROR(INDEX(PriceChangeData!$C:$C,MATCH($C257&amp;H$15,PriceChangeData!$F:$F,0)),0)+H256,"")</f>
        <v/>
      </c>
    </row>
    <row r="258" spans="3:8" x14ac:dyDescent="0.25">
      <c r="C258" s="18">
        <f t="shared" si="5"/>
        <v>43443</v>
      </c>
      <c r="D258" s="10">
        <f>IF(AND($C258&lt;&gt;"",D$15&lt;&gt;""),IFERROR(INDEX(PriceChangeData!$C:$C,MATCH($C258&amp;D$15,PriceChangeData!$F:$F,0)),0)+D257,"")</f>
        <v>-4.2902467613435379E-2</v>
      </c>
      <c r="E258" s="11" t="str">
        <f>IF(AND($C258&lt;&gt;"",E$15&lt;&gt;""),IFERROR(INDEX(PriceChangeData!$C:$C,MATCH($C258&amp;E$15,PriceChangeData!$F:$F,0)),0)+E257,"")</f>
        <v/>
      </c>
      <c r="F258" s="11" t="str">
        <f>IF(AND($C258&lt;&gt;"",F$15&lt;&gt;""),IFERROR(INDEX(PriceChangeData!$C:$C,MATCH($C258&amp;F$15,PriceChangeData!$F:$F,0)),0)+F257,"")</f>
        <v/>
      </c>
      <c r="G258" s="11" t="str">
        <f>IF(AND($C258&lt;&gt;"",G$15&lt;&gt;""),IFERROR(INDEX(PriceChangeData!$C:$C,MATCH($C258&amp;G$15,PriceChangeData!$F:$F,0)),0)+G257,"")</f>
        <v/>
      </c>
      <c r="H258" s="19" t="str">
        <f>IF(AND($C258&lt;&gt;"",H$15&lt;&gt;""),IFERROR(INDEX(PriceChangeData!$C:$C,MATCH($C258&amp;H$15,PriceChangeData!$F:$F,0)),0)+H257,"")</f>
        <v/>
      </c>
    </row>
    <row r="259" spans="3:8" x14ac:dyDescent="0.25">
      <c r="C259" s="18">
        <f t="shared" si="5"/>
        <v>43444</v>
      </c>
      <c r="D259" s="10">
        <f>IF(AND($C259&lt;&gt;"",D$15&lt;&gt;""),IFERROR(INDEX(PriceChangeData!$C:$C,MATCH($C259&amp;D$15,PriceChangeData!$F:$F,0)),0)+D258,"")</f>
        <v>-3.5455848617413188E-2</v>
      </c>
      <c r="E259" s="11" t="str">
        <f>IF(AND($C259&lt;&gt;"",E$15&lt;&gt;""),IFERROR(INDEX(PriceChangeData!$C:$C,MATCH($C259&amp;E$15,PriceChangeData!$F:$F,0)),0)+E258,"")</f>
        <v/>
      </c>
      <c r="F259" s="11" t="str">
        <f>IF(AND($C259&lt;&gt;"",F$15&lt;&gt;""),IFERROR(INDEX(PriceChangeData!$C:$C,MATCH($C259&amp;F$15,PriceChangeData!$F:$F,0)),0)+F258,"")</f>
        <v/>
      </c>
      <c r="G259" s="11" t="str">
        <f>IF(AND($C259&lt;&gt;"",G$15&lt;&gt;""),IFERROR(INDEX(PriceChangeData!$C:$C,MATCH($C259&amp;G$15,PriceChangeData!$F:$F,0)),0)+G258,"")</f>
        <v/>
      </c>
      <c r="H259" s="19" t="str">
        <f>IF(AND($C259&lt;&gt;"",H$15&lt;&gt;""),IFERROR(INDEX(PriceChangeData!$C:$C,MATCH($C259&amp;H$15,PriceChangeData!$F:$F,0)),0)+H258,"")</f>
        <v/>
      </c>
    </row>
    <row r="260" spans="3:8" x14ac:dyDescent="0.25">
      <c r="C260" s="18">
        <f t="shared" si="5"/>
        <v>43445</v>
      </c>
      <c r="D260" s="10">
        <f>IF(AND($C260&lt;&gt;"",D$15&lt;&gt;""),IFERROR(INDEX(PriceChangeData!$C:$C,MATCH($C260&amp;D$15,PriceChangeData!$F:$F,0)),0)+D259,"")</f>
        <v>-2.908439760329265E-2</v>
      </c>
      <c r="E260" s="11" t="str">
        <f>IF(AND($C260&lt;&gt;"",E$15&lt;&gt;""),IFERROR(INDEX(PriceChangeData!$C:$C,MATCH($C260&amp;E$15,PriceChangeData!$F:$F,0)),0)+E259,"")</f>
        <v/>
      </c>
      <c r="F260" s="11" t="str">
        <f>IF(AND($C260&lt;&gt;"",F$15&lt;&gt;""),IFERROR(INDEX(PriceChangeData!$C:$C,MATCH($C260&amp;F$15,PriceChangeData!$F:$F,0)),0)+F259,"")</f>
        <v/>
      </c>
      <c r="G260" s="11" t="str">
        <f>IF(AND($C260&lt;&gt;"",G$15&lt;&gt;""),IFERROR(INDEX(PriceChangeData!$C:$C,MATCH($C260&amp;G$15,PriceChangeData!$F:$F,0)),0)+G259,"")</f>
        <v/>
      </c>
      <c r="H260" s="19" t="str">
        <f>IF(AND($C260&lt;&gt;"",H$15&lt;&gt;""),IFERROR(INDEX(PriceChangeData!$C:$C,MATCH($C260&amp;H$15,PriceChangeData!$F:$F,0)),0)+H259,"")</f>
        <v/>
      </c>
    </row>
    <row r="261" spans="3:8" x14ac:dyDescent="0.25">
      <c r="C261" s="18">
        <f t="shared" si="5"/>
        <v>43446</v>
      </c>
      <c r="D261" s="10">
        <f>IF(AND($C261&lt;&gt;"",D$15&lt;&gt;""),IFERROR(INDEX(PriceChangeData!$C:$C,MATCH($C261&amp;D$15,PriceChangeData!$F:$F,0)),0)+D260,"")</f>
        <v>-2.4219194412458289E-2</v>
      </c>
      <c r="E261" s="11" t="str">
        <f>IF(AND($C261&lt;&gt;"",E$15&lt;&gt;""),IFERROR(INDEX(PriceChangeData!$C:$C,MATCH($C261&amp;E$15,PriceChangeData!$F:$F,0)),0)+E260,"")</f>
        <v/>
      </c>
      <c r="F261" s="11" t="str">
        <f>IF(AND($C261&lt;&gt;"",F$15&lt;&gt;""),IFERROR(INDEX(PriceChangeData!$C:$C,MATCH($C261&amp;F$15,PriceChangeData!$F:$F,0)),0)+F260,"")</f>
        <v/>
      </c>
      <c r="G261" s="11" t="str">
        <f>IF(AND($C261&lt;&gt;"",G$15&lt;&gt;""),IFERROR(INDEX(PriceChangeData!$C:$C,MATCH($C261&amp;G$15,PriceChangeData!$F:$F,0)),0)+G260,"")</f>
        <v/>
      </c>
      <c r="H261" s="19" t="str">
        <f>IF(AND($C261&lt;&gt;"",H$15&lt;&gt;""),IFERROR(INDEX(PriceChangeData!$C:$C,MATCH($C261&amp;H$15,PriceChangeData!$F:$F,0)),0)+H260,"")</f>
        <v/>
      </c>
    </row>
    <row r="262" spans="3:8" x14ac:dyDescent="0.25">
      <c r="C262" s="18">
        <f t="shared" si="5"/>
        <v>43447</v>
      </c>
      <c r="D262" s="10">
        <f>IF(AND($C262&lt;&gt;"",D$15&lt;&gt;""),IFERROR(INDEX(PriceChangeData!$C:$C,MATCH($C262&amp;D$15,PriceChangeData!$F:$F,0)),0)+D261,"")</f>
        <v>-3.4314943229210415E-2</v>
      </c>
      <c r="E262" s="11" t="str">
        <f>IF(AND($C262&lt;&gt;"",E$15&lt;&gt;""),IFERROR(INDEX(PriceChangeData!$C:$C,MATCH($C262&amp;E$15,PriceChangeData!$F:$F,0)),0)+E261,"")</f>
        <v/>
      </c>
      <c r="F262" s="11" t="str">
        <f>IF(AND($C262&lt;&gt;"",F$15&lt;&gt;""),IFERROR(INDEX(PriceChangeData!$C:$C,MATCH($C262&amp;F$15,PriceChangeData!$F:$F,0)),0)+F261,"")</f>
        <v/>
      </c>
      <c r="G262" s="11" t="str">
        <f>IF(AND($C262&lt;&gt;"",G$15&lt;&gt;""),IFERROR(INDEX(PriceChangeData!$C:$C,MATCH($C262&amp;G$15,PriceChangeData!$F:$F,0)),0)+G261,"")</f>
        <v/>
      </c>
      <c r="H262" s="19" t="str">
        <f>IF(AND($C262&lt;&gt;"",H$15&lt;&gt;""),IFERROR(INDEX(PriceChangeData!$C:$C,MATCH($C262&amp;H$15,PriceChangeData!$F:$F,0)),0)+H261,"")</f>
        <v/>
      </c>
    </row>
    <row r="263" spans="3:8" x14ac:dyDescent="0.25">
      <c r="C263" s="18">
        <f t="shared" si="5"/>
        <v>43448</v>
      </c>
      <c r="D263" s="10">
        <f>IF(AND($C263&lt;&gt;"",D$15&lt;&gt;""),IFERROR(INDEX(PriceChangeData!$C:$C,MATCH($C263&amp;D$15,PriceChangeData!$F:$F,0)),0)+D262,"")</f>
        <v>-5.8549279567447252E-2</v>
      </c>
      <c r="E263" s="11" t="str">
        <f>IF(AND($C263&lt;&gt;"",E$15&lt;&gt;""),IFERROR(INDEX(PriceChangeData!$C:$C,MATCH($C263&amp;E$15,PriceChangeData!$F:$F,0)),0)+E262,"")</f>
        <v/>
      </c>
      <c r="F263" s="11" t="str">
        <f>IF(AND($C263&lt;&gt;"",F$15&lt;&gt;""),IFERROR(INDEX(PriceChangeData!$C:$C,MATCH($C263&amp;F$15,PriceChangeData!$F:$F,0)),0)+F262,"")</f>
        <v/>
      </c>
      <c r="G263" s="11" t="str">
        <f>IF(AND($C263&lt;&gt;"",G$15&lt;&gt;""),IFERROR(INDEX(PriceChangeData!$C:$C,MATCH($C263&amp;G$15,PriceChangeData!$F:$F,0)),0)+G262,"")</f>
        <v/>
      </c>
      <c r="H263" s="19" t="str">
        <f>IF(AND($C263&lt;&gt;"",H$15&lt;&gt;""),IFERROR(INDEX(PriceChangeData!$C:$C,MATCH($C263&amp;H$15,PriceChangeData!$F:$F,0)),0)+H262,"")</f>
        <v/>
      </c>
    </row>
    <row r="264" spans="3:8" x14ac:dyDescent="0.25">
      <c r="C264" s="18">
        <f t="shared" si="5"/>
        <v>43449</v>
      </c>
      <c r="D264" s="10">
        <f>IF(AND($C264&lt;&gt;"",D$15&lt;&gt;""),IFERROR(INDEX(PriceChangeData!$C:$C,MATCH($C264&amp;D$15,PriceChangeData!$F:$F,0)),0)+D263,"")</f>
        <v>-5.8549279567447252E-2</v>
      </c>
      <c r="E264" s="11" t="str">
        <f>IF(AND($C264&lt;&gt;"",E$15&lt;&gt;""),IFERROR(INDEX(PriceChangeData!$C:$C,MATCH($C264&amp;E$15,PriceChangeData!$F:$F,0)),0)+E263,"")</f>
        <v/>
      </c>
      <c r="F264" s="11" t="str">
        <f>IF(AND($C264&lt;&gt;"",F$15&lt;&gt;""),IFERROR(INDEX(PriceChangeData!$C:$C,MATCH($C264&amp;F$15,PriceChangeData!$F:$F,0)),0)+F263,"")</f>
        <v/>
      </c>
      <c r="G264" s="11" t="str">
        <f>IF(AND($C264&lt;&gt;"",G$15&lt;&gt;""),IFERROR(INDEX(PriceChangeData!$C:$C,MATCH($C264&amp;G$15,PriceChangeData!$F:$F,0)),0)+G263,"")</f>
        <v/>
      </c>
      <c r="H264" s="19" t="str">
        <f>IF(AND($C264&lt;&gt;"",H$15&lt;&gt;""),IFERROR(INDEX(PriceChangeData!$C:$C,MATCH($C264&amp;H$15,PriceChangeData!$F:$F,0)),0)+H263,"")</f>
        <v/>
      </c>
    </row>
    <row r="265" spans="3:8" x14ac:dyDescent="0.25">
      <c r="C265" s="18">
        <f t="shared" si="5"/>
        <v>43450</v>
      </c>
      <c r="D265" s="10">
        <f>IF(AND($C265&lt;&gt;"",D$15&lt;&gt;""),IFERROR(INDEX(PriceChangeData!$C:$C,MATCH($C265&amp;D$15,PriceChangeData!$F:$F,0)),0)+D264,"")</f>
        <v>-5.8549279567447252E-2</v>
      </c>
      <c r="E265" s="11" t="str">
        <f>IF(AND($C265&lt;&gt;"",E$15&lt;&gt;""),IFERROR(INDEX(PriceChangeData!$C:$C,MATCH($C265&amp;E$15,PriceChangeData!$F:$F,0)),0)+E264,"")</f>
        <v/>
      </c>
      <c r="F265" s="11" t="str">
        <f>IF(AND($C265&lt;&gt;"",F$15&lt;&gt;""),IFERROR(INDEX(PriceChangeData!$C:$C,MATCH($C265&amp;F$15,PriceChangeData!$F:$F,0)),0)+F264,"")</f>
        <v/>
      </c>
      <c r="G265" s="11" t="str">
        <f>IF(AND($C265&lt;&gt;"",G$15&lt;&gt;""),IFERROR(INDEX(PriceChangeData!$C:$C,MATCH($C265&amp;G$15,PriceChangeData!$F:$F,0)),0)+G264,"")</f>
        <v/>
      </c>
      <c r="H265" s="19" t="str">
        <f>IF(AND($C265&lt;&gt;"",H$15&lt;&gt;""),IFERROR(INDEX(PriceChangeData!$C:$C,MATCH($C265&amp;H$15,PriceChangeData!$F:$F,0)),0)+H264,"")</f>
        <v/>
      </c>
    </row>
    <row r="266" spans="3:8" x14ac:dyDescent="0.25">
      <c r="C266" s="18">
        <f t="shared" si="5"/>
        <v>43451</v>
      </c>
      <c r="D266" s="10">
        <f>IF(AND($C266&lt;&gt;"",D$15&lt;&gt;""),IFERROR(INDEX(PriceChangeData!$C:$C,MATCH($C266&amp;D$15,PriceChangeData!$F:$F,0)),0)+D265,"")</f>
        <v>-6.6523266713654619E-2</v>
      </c>
      <c r="E266" s="11" t="str">
        <f>IF(AND($C266&lt;&gt;"",E$15&lt;&gt;""),IFERROR(INDEX(PriceChangeData!$C:$C,MATCH($C266&amp;E$15,PriceChangeData!$F:$F,0)),0)+E265,"")</f>
        <v/>
      </c>
      <c r="F266" s="11" t="str">
        <f>IF(AND($C266&lt;&gt;"",F$15&lt;&gt;""),IFERROR(INDEX(PriceChangeData!$C:$C,MATCH($C266&amp;F$15,PriceChangeData!$F:$F,0)),0)+F265,"")</f>
        <v/>
      </c>
      <c r="G266" s="11" t="str">
        <f>IF(AND($C266&lt;&gt;"",G$15&lt;&gt;""),IFERROR(INDEX(PriceChangeData!$C:$C,MATCH($C266&amp;G$15,PriceChangeData!$F:$F,0)),0)+G265,"")</f>
        <v/>
      </c>
      <c r="H266" s="19" t="str">
        <f>IF(AND($C266&lt;&gt;"",H$15&lt;&gt;""),IFERROR(INDEX(PriceChangeData!$C:$C,MATCH($C266&amp;H$15,PriceChangeData!$F:$F,0)),0)+H265,"")</f>
        <v/>
      </c>
    </row>
    <row r="267" spans="3:8" x14ac:dyDescent="0.25">
      <c r="C267" s="18">
        <f t="shared" si="5"/>
        <v>43452</v>
      </c>
      <c r="D267" s="10">
        <f>IF(AND($C267&lt;&gt;"",D$15&lt;&gt;""),IFERROR(INDEX(PriceChangeData!$C:$C,MATCH($C267&amp;D$15,PriceChangeData!$F:$F,0)),0)+D266,"")</f>
        <v>-8.2547080699894707E-2</v>
      </c>
      <c r="E267" s="11" t="str">
        <f>IF(AND($C267&lt;&gt;"",E$15&lt;&gt;""),IFERROR(INDEX(PriceChangeData!$C:$C,MATCH($C267&amp;E$15,PriceChangeData!$F:$F,0)),0)+E266,"")</f>
        <v/>
      </c>
      <c r="F267" s="11" t="str">
        <f>IF(AND($C267&lt;&gt;"",F$15&lt;&gt;""),IFERROR(INDEX(PriceChangeData!$C:$C,MATCH($C267&amp;F$15,PriceChangeData!$F:$F,0)),0)+F266,"")</f>
        <v/>
      </c>
      <c r="G267" s="11" t="str">
        <f>IF(AND($C267&lt;&gt;"",G$15&lt;&gt;""),IFERROR(INDEX(PriceChangeData!$C:$C,MATCH($C267&amp;G$15,PriceChangeData!$F:$F,0)),0)+G266,"")</f>
        <v/>
      </c>
      <c r="H267" s="19" t="str">
        <f>IF(AND($C267&lt;&gt;"",H$15&lt;&gt;""),IFERROR(INDEX(PriceChangeData!$C:$C,MATCH($C267&amp;H$15,PriceChangeData!$F:$F,0)),0)+H266,"")</f>
        <v/>
      </c>
    </row>
    <row r="268" spans="3:8" x14ac:dyDescent="0.25">
      <c r="C268" s="18">
        <f t="shared" si="5"/>
        <v>43453</v>
      </c>
      <c r="D268" s="10">
        <f>IF(AND($C268&lt;&gt;"",D$15&lt;&gt;""),IFERROR(INDEX(PriceChangeData!$C:$C,MATCH($C268&amp;D$15,PriceChangeData!$F:$F,0)),0)+D267,"")</f>
        <v>-8.3264328727619366E-2</v>
      </c>
      <c r="E268" s="11" t="str">
        <f>IF(AND($C268&lt;&gt;"",E$15&lt;&gt;""),IFERROR(INDEX(PriceChangeData!$C:$C,MATCH($C268&amp;E$15,PriceChangeData!$F:$F,0)),0)+E267,"")</f>
        <v/>
      </c>
      <c r="F268" s="11" t="str">
        <f>IF(AND($C268&lt;&gt;"",F$15&lt;&gt;""),IFERROR(INDEX(PriceChangeData!$C:$C,MATCH($C268&amp;F$15,PriceChangeData!$F:$F,0)),0)+F267,"")</f>
        <v/>
      </c>
      <c r="G268" s="11" t="str">
        <f>IF(AND($C268&lt;&gt;"",G$15&lt;&gt;""),IFERROR(INDEX(PriceChangeData!$C:$C,MATCH($C268&amp;G$15,PriceChangeData!$F:$F,0)),0)+G267,"")</f>
        <v/>
      </c>
      <c r="H268" s="19" t="str">
        <f>IF(AND($C268&lt;&gt;"",H$15&lt;&gt;""),IFERROR(INDEX(PriceChangeData!$C:$C,MATCH($C268&amp;H$15,PriceChangeData!$F:$F,0)),0)+H267,"")</f>
        <v/>
      </c>
    </row>
    <row r="269" spans="3:8" x14ac:dyDescent="0.25">
      <c r="C269" s="18">
        <f t="shared" si="5"/>
        <v>43454</v>
      </c>
      <c r="D269" s="10">
        <f>IF(AND($C269&lt;&gt;"",D$15&lt;&gt;""),IFERROR(INDEX(PriceChangeData!$C:$C,MATCH($C269&amp;D$15,PriceChangeData!$F:$F,0)),0)+D268,"")</f>
        <v>-6.13555361601653E-2</v>
      </c>
      <c r="E269" s="11" t="str">
        <f>IF(AND($C269&lt;&gt;"",E$15&lt;&gt;""),IFERROR(INDEX(PriceChangeData!$C:$C,MATCH($C269&amp;E$15,PriceChangeData!$F:$F,0)),0)+E268,"")</f>
        <v/>
      </c>
      <c r="F269" s="11" t="str">
        <f>IF(AND($C269&lt;&gt;"",F$15&lt;&gt;""),IFERROR(INDEX(PriceChangeData!$C:$C,MATCH($C269&amp;F$15,PriceChangeData!$F:$F,0)),0)+F268,"")</f>
        <v/>
      </c>
      <c r="G269" s="11" t="str">
        <f>IF(AND($C269&lt;&gt;"",G$15&lt;&gt;""),IFERROR(INDEX(PriceChangeData!$C:$C,MATCH($C269&amp;G$15,PriceChangeData!$F:$F,0)),0)+G268,"")</f>
        <v/>
      </c>
      <c r="H269" s="19" t="str">
        <f>IF(AND($C269&lt;&gt;"",H$15&lt;&gt;""),IFERROR(INDEX(PriceChangeData!$C:$C,MATCH($C269&amp;H$15,PriceChangeData!$F:$F,0)),0)+H268,"")</f>
        <v/>
      </c>
    </row>
    <row r="270" spans="3:8" x14ac:dyDescent="0.25">
      <c r="C270" s="18">
        <f t="shared" si="5"/>
        <v>43455</v>
      </c>
      <c r="D270" s="10">
        <f>IF(AND($C270&lt;&gt;"",D$15&lt;&gt;""),IFERROR(INDEX(PriceChangeData!$C:$C,MATCH($C270&amp;D$15,PriceChangeData!$F:$F,0)),0)+D269,"")</f>
        <v>-6.664126988557377E-2</v>
      </c>
      <c r="E270" s="11" t="str">
        <f>IF(AND($C270&lt;&gt;"",E$15&lt;&gt;""),IFERROR(INDEX(PriceChangeData!$C:$C,MATCH($C270&amp;E$15,PriceChangeData!$F:$F,0)),0)+E269,"")</f>
        <v/>
      </c>
      <c r="F270" s="11" t="str">
        <f>IF(AND($C270&lt;&gt;"",F$15&lt;&gt;""),IFERROR(INDEX(PriceChangeData!$C:$C,MATCH($C270&amp;F$15,PriceChangeData!$F:$F,0)),0)+F269,"")</f>
        <v/>
      </c>
      <c r="G270" s="11" t="str">
        <f>IF(AND($C270&lt;&gt;"",G$15&lt;&gt;""),IFERROR(INDEX(PriceChangeData!$C:$C,MATCH($C270&amp;G$15,PriceChangeData!$F:$F,0)),0)+G269,"")</f>
        <v/>
      </c>
      <c r="H270" s="19" t="str">
        <f>IF(AND($C270&lt;&gt;"",H$15&lt;&gt;""),IFERROR(INDEX(PriceChangeData!$C:$C,MATCH($C270&amp;H$15,PriceChangeData!$F:$F,0)),0)+H269,"")</f>
        <v/>
      </c>
    </row>
    <row r="271" spans="3:8" x14ac:dyDescent="0.25">
      <c r="C271" s="18">
        <f t="shared" si="5"/>
        <v>43456</v>
      </c>
      <c r="D271" s="10">
        <f>IF(AND($C271&lt;&gt;"",D$15&lt;&gt;""),IFERROR(INDEX(PriceChangeData!$C:$C,MATCH($C271&amp;D$15,PriceChangeData!$F:$F,0)),0)+D270,"")</f>
        <v>-6.664126988557377E-2</v>
      </c>
      <c r="E271" s="11" t="str">
        <f>IF(AND($C271&lt;&gt;"",E$15&lt;&gt;""),IFERROR(INDEX(PriceChangeData!$C:$C,MATCH($C271&amp;E$15,PriceChangeData!$F:$F,0)),0)+E270,"")</f>
        <v/>
      </c>
      <c r="F271" s="11" t="str">
        <f>IF(AND($C271&lt;&gt;"",F$15&lt;&gt;""),IFERROR(INDEX(PriceChangeData!$C:$C,MATCH($C271&amp;F$15,PriceChangeData!$F:$F,0)),0)+F270,"")</f>
        <v/>
      </c>
      <c r="G271" s="11" t="str">
        <f>IF(AND($C271&lt;&gt;"",G$15&lt;&gt;""),IFERROR(INDEX(PriceChangeData!$C:$C,MATCH($C271&amp;G$15,PriceChangeData!$F:$F,0)),0)+G270,"")</f>
        <v/>
      </c>
      <c r="H271" s="19" t="str">
        <f>IF(AND($C271&lt;&gt;"",H$15&lt;&gt;""),IFERROR(INDEX(PriceChangeData!$C:$C,MATCH($C271&amp;H$15,PriceChangeData!$F:$F,0)),0)+H270,"")</f>
        <v/>
      </c>
    </row>
    <row r="272" spans="3:8" x14ac:dyDescent="0.25">
      <c r="C272" s="18">
        <f t="shared" si="5"/>
        <v>43457</v>
      </c>
      <c r="D272" s="10">
        <f>IF(AND($C272&lt;&gt;"",D$15&lt;&gt;""),IFERROR(INDEX(PriceChangeData!$C:$C,MATCH($C272&amp;D$15,PriceChangeData!$F:$F,0)),0)+D271,"")</f>
        <v>-6.664126988557377E-2</v>
      </c>
      <c r="E272" s="11" t="str">
        <f>IF(AND($C272&lt;&gt;"",E$15&lt;&gt;""),IFERROR(INDEX(PriceChangeData!$C:$C,MATCH($C272&amp;E$15,PriceChangeData!$F:$F,0)),0)+E271,"")</f>
        <v/>
      </c>
      <c r="F272" s="11" t="str">
        <f>IF(AND($C272&lt;&gt;"",F$15&lt;&gt;""),IFERROR(INDEX(PriceChangeData!$C:$C,MATCH($C272&amp;F$15,PriceChangeData!$F:$F,0)),0)+F271,"")</f>
        <v/>
      </c>
      <c r="G272" s="11" t="str">
        <f>IF(AND($C272&lt;&gt;"",G$15&lt;&gt;""),IFERROR(INDEX(PriceChangeData!$C:$C,MATCH($C272&amp;G$15,PriceChangeData!$F:$F,0)),0)+G271,"")</f>
        <v/>
      </c>
      <c r="H272" s="19" t="str">
        <f>IF(AND($C272&lt;&gt;"",H$15&lt;&gt;""),IFERROR(INDEX(PriceChangeData!$C:$C,MATCH($C272&amp;H$15,PriceChangeData!$F:$F,0)),0)+H271,"")</f>
        <v/>
      </c>
    </row>
    <row r="273" spans="3:8" x14ac:dyDescent="0.25">
      <c r="C273" s="18">
        <f t="shared" si="5"/>
        <v>43458</v>
      </c>
      <c r="D273" s="10">
        <f>IF(AND($C273&lt;&gt;"",D$15&lt;&gt;""),IFERROR(INDEX(PriceChangeData!$C:$C,MATCH($C273&amp;D$15,PriceChangeData!$F:$F,0)),0)+D272,"")</f>
        <v>-7.5631256877514347E-2</v>
      </c>
      <c r="E273" s="11" t="str">
        <f>IF(AND($C273&lt;&gt;"",E$15&lt;&gt;""),IFERROR(INDEX(PriceChangeData!$C:$C,MATCH($C273&amp;E$15,PriceChangeData!$F:$F,0)),0)+E272,"")</f>
        <v/>
      </c>
      <c r="F273" s="11" t="str">
        <f>IF(AND($C273&lt;&gt;"",F$15&lt;&gt;""),IFERROR(INDEX(PriceChangeData!$C:$C,MATCH($C273&amp;F$15,PriceChangeData!$F:$F,0)),0)+F272,"")</f>
        <v/>
      </c>
      <c r="G273" s="11" t="str">
        <f>IF(AND($C273&lt;&gt;"",G$15&lt;&gt;""),IFERROR(INDEX(PriceChangeData!$C:$C,MATCH($C273&amp;G$15,PriceChangeData!$F:$F,0)),0)+G272,"")</f>
        <v/>
      </c>
      <c r="H273" s="19" t="str">
        <f>IF(AND($C273&lt;&gt;"",H$15&lt;&gt;""),IFERROR(INDEX(PriceChangeData!$C:$C,MATCH($C273&amp;H$15,PriceChangeData!$F:$F,0)),0)+H272,"")</f>
        <v/>
      </c>
    </row>
    <row r="274" spans="3:8" x14ac:dyDescent="0.25">
      <c r="C274" s="18">
        <f t="shared" ref="C274:C337" si="6">IFERROR(IF(C273+1&gt;C$12,"",C273+1),"")</f>
        <v>43459</v>
      </c>
      <c r="D274" s="10">
        <f>IF(AND($C274&lt;&gt;"",D$15&lt;&gt;""),IFERROR(INDEX(PriceChangeData!$C:$C,MATCH($C274&amp;D$15,PriceChangeData!$F:$F,0)),0)+D273,"")</f>
        <v>-7.5631256877514347E-2</v>
      </c>
      <c r="E274" s="11" t="str">
        <f>IF(AND($C274&lt;&gt;"",E$15&lt;&gt;""),IFERROR(INDEX(PriceChangeData!$C:$C,MATCH($C274&amp;E$15,PriceChangeData!$F:$F,0)),0)+E273,"")</f>
        <v/>
      </c>
      <c r="F274" s="11" t="str">
        <f>IF(AND($C274&lt;&gt;"",F$15&lt;&gt;""),IFERROR(INDEX(PriceChangeData!$C:$C,MATCH($C274&amp;F$15,PriceChangeData!$F:$F,0)),0)+F273,"")</f>
        <v/>
      </c>
      <c r="G274" s="11" t="str">
        <f>IF(AND($C274&lt;&gt;"",G$15&lt;&gt;""),IFERROR(INDEX(PriceChangeData!$C:$C,MATCH($C274&amp;G$15,PriceChangeData!$F:$F,0)),0)+G273,"")</f>
        <v/>
      </c>
      <c r="H274" s="19" t="str">
        <f>IF(AND($C274&lt;&gt;"",H$15&lt;&gt;""),IFERROR(INDEX(PriceChangeData!$C:$C,MATCH($C274&amp;H$15,PriceChangeData!$F:$F,0)),0)+H273,"")</f>
        <v/>
      </c>
    </row>
    <row r="275" spans="3:8" x14ac:dyDescent="0.25">
      <c r="C275" s="18">
        <f t="shared" si="6"/>
        <v>43460</v>
      </c>
      <c r="D275" s="10">
        <f>IF(AND($C275&lt;&gt;"",D$15&lt;&gt;""),IFERROR(INDEX(PriceChangeData!$C:$C,MATCH($C275&amp;D$15,PriceChangeData!$F:$F,0)),0)+D274,"")</f>
        <v>-1.9264990908613402E-2</v>
      </c>
      <c r="E275" s="11" t="str">
        <f>IF(AND($C275&lt;&gt;"",E$15&lt;&gt;""),IFERROR(INDEX(PriceChangeData!$C:$C,MATCH($C275&amp;E$15,PriceChangeData!$F:$F,0)),0)+E274,"")</f>
        <v/>
      </c>
      <c r="F275" s="11" t="str">
        <f>IF(AND($C275&lt;&gt;"",F$15&lt;&gt;""),IFERROR(INDEX(PriceChangeData!$C:$C,MATCH($C275&amp;F$15,PriceChangeData!$F:$F,0)),0)+F274,"")</f>
        <v/>
      </c>
      <c r="G275" s="11" t="str">
        <f>IF(AND($C275&lt;&gt;"",G$15&lt;&gt;""),IFERROR(INDEX(PriceChangeData!$C:$C,MATCH($C275&amp;G$15,PriceChangeData!$F:$F,0)),0)+G274,"")</f>
        <v/>
      </c>
      <c r="H275" s="19" t="str">
        <f>IF(AND($C275&lt;&gt;"",H$15&lt;&gt;""),IFERROR(INDEX(PriceChangeData!$C:$C,MATCH($C275&amp;H$15,PriceChangeData!$F:$F,0)),0)+H274,"")</f>
        <v/>
      </c>
    </row>
    <row r="276" spans="3:8" x14ac:dyDescent="0.25">
      <c r="C276" s="18">
        <f t="shared" si="6"/>
        <v>43461</v>
      </c>
      <c r="D276" s="10">
        <f>IF(AND($C276&lt;&gt;"",D$15&lt;&gt;""),IFERROR(INDEX(PriceChangeData!$C:$C,MATCH($C276&amp;D$15,PriceChangeData!$F:$F,0)),0)+D275,"")</f>
        <v>-9.5410681261580733E-3</v>
      </c>
      <c r="E276" s="11" t="str">
        <f>IF(AND($C276&lt;&gt;"",E$15&lt;&gt;""),IFERROR(INDEX(PriceChangeData!$C:$C,MATCH($C276&amp;E$15,PriceChangeData!$F:$F,0)),0)+E275,"")</f>
        <v/>
      </c>
      <c r="F276" s="11" t="str">
        <f>IF(AND($C276&lt;&gt;"",F$15&lt;&gt;""),IFERROR(INDEX(PriceChangeData!$C:$C,MATCH($C276&amp;F$15,PriceChangeData!$F:$F,0)),0)+F275,"")</f>
        <v/>
      </c>
      <c r="G276" s="11" t="str">
        <f>IF(AND($C276&lt;&gt;"",G$15&lt;&gt;""),IFERROR(INDEX(PriceChangeData!$C:$C,MATCH($C276&amp;G$15,PriceChangeData!$F:$F,0)),0)+G275,"")</f>
        <v/>
      </c>
      <c r="H276" s="19" t="str">
        <f>IF(AND($C276&lt;&gt;"",H$15&lt;&gt;""),IFERROR(INDEX(PriceChangeData!$C:$C,MATCH($C276&amp;H$15,PriceChangeData!$F:$F,0)),0)+H275,"")</f>
        <v/>
      </c>
    </row>
    <row r="277" spans="3:8" x14ac:dyDescent="0.25">
      <c r="C277" s="18">
        <f t="shared" si="6"/>
        <v>43462</v>
      </c>
      <c r="D277" s="10">
        <f>IF(AND($C277&lt;&gt;"",D$15&lt;&gt;""),IFERROR(INDEX(PriceChangeData!$C:$C,MATCH($C277&amp;D$15,PriceChangeData!$F:$F,0)),0)+D276,"")</f>
        <v>3.8266332405292331E-3</v>
      </c>
      <c r="E277" s="11" t="str">
        <f>IF(AND($C277&lt;&gt;"",E$15&lt;&gt;""),IFERROR(INDEX(PriceChangeData!$C:$C,MATCH($C277&amp;E$15,PriceChangeData!$F:$F,0)),0)+E276,"")</f>
        <v/>
      </c>
      <c r="F277" s="11" t="str">
        <f>IF(AND($C277&lt;&gt;"",F$15&lt;&gt;""),IFERROR(INDEX(PriceChangeData!$C:$C,MATCH($C277&amp;F$15,PriceChangeData!$F:$F,0)),0)+F276,"")</f>
        <v/>
      </c>
      <c r="G277" s="11" t="str">
        <f>IF(AND($C277&lt;&gt;"",G$15&lt;&gt;""),IFERROR(INDEX(PriceChangeData!$C:$C,MATCH($C277&amp;G$15,PriceChangeData!$F:$F,0)),0)+G276,"")</f>
        <v/>
      </c>
      <c r="H277" s="19" t="str">
        <f>IF(AND($C277&lt;&gt;"",H$15&lt;&gt;""),IFERROR(INDEX(PriceChangeData!$C:$C,MATCH($C277&amp;H$15,PriceChangeData!$F:$F,0)),0)+H276,"")</f>
        <v/>
      </c>
    </row>
    <row r="278" spans="3:8" x14ac:dyDescent="0.25">
      <c r="C278" s="18">
        <f t="shared" si="6"/>
        <v>43463</v>
      </c>
      <c r="D278" s="10">
        <f>IF(AND($C278&lt;&gt;"",D$15&lt;&gt;""),IFERROR(INDEX(PriceChangeData!$C:$C,MATCH($C278&amp;D$15,PriceChangeData!$F:$F,0)),0)+D277,"")</f>
        <v>3.8266332405292331E-3</v>
      </c>
      <c r="E278" s="11" t="str">
        <f>IF(AND($C278&lt;&gt;"",E$15&lt;&gt;""),IFERROR(INDEX(PriceChangeData!$C:$C,MATCH($C278&amp;E$15,PriceChangeData!$F:$F,0)),0)+E277,"")</f>
        <v/>
      </c>
      <c r="F278" s="11" t="str">
        <f>IF(AND($C278&lt;&gt;"",F$15&lt;&gt;""),IFERROR(INDEX(PriceChangeData!$C:$C,MATCH($C278&amp;F$15,PriceChangeData!$F:$F,0)),0)+F277,"")</f>
        <v/>
      </c>
      <c r="G278" s="11" t="str">
        <f>IF(AND($C278&lt;&gt;"",G$15&lt;&gt;""),IFERROR(INDEX(PriceChangeData!$C:$C,MATCH($C278&amp;G$15,PriceChangeData!$F:$F,0)),0)+G277,"")</f>
        <v/>
      </c>
      <c r="H278" s="19" t="str">
        <f>IF(AND($C278&lt;&gt;"",H$15&lt;&gt;""),IFERROR(INDEX(PriceChangeData!$C:$C,MATCH($C278&amp;H$15,PriceChangeData!$F:$F,0)),0)+H277,"")</f>
        <v/>
      </c>
    </row>
    <row r="279" spans="3:8" x14ac:dyDescent="0.25">
      <c r="C279" s="18">
        <f t="shared" si="6"/>
        <v>43464</v>
      </c>
      <c r="D279" s="10">
        <f>IF(AND($C279&lt;&gt;"",D$15&lt;&gt;""),IFERROR(INDEX(PriceChangeData!$C:$C,MATCH($C279&amp;D$15,PriceChangeData!$F:$F,0)),0)+D278,"")</f>
        <v>3.8266332405292331E-3</v>
      </c>
      <c r="E279" s="11" t="str">
        <f>IF(AND($C279&lt;&gt;"",E$15&lt;&gt;""),IFERROR(INDEX(PriceChangeData!$C:$C,MATCH($C279&amp;E$15,PriceChangeData!$F:$F,0)),0)+E278,"")</f>
        <v/>
      </c>
      <c r="F279" s="11" t="str">
        <f>IF(AND($C279&lt;&gt;"",F$15&lt;&gt;""),IFERROR(INDEX(PriceChangeData!$C:$C,MATCH($C279&amp;F$15,PriceChangeData!$F:$F,0)),0)+F278,"")</f>
        <v/>
      </c>
      <c r="G279" s="11" t="str">
        <f>IF(AND($C279&lt;&gt;"",G$15&lt;&gt;""),IFERROR(INDEX(PriceChangeData!$C:$C,MATCH($C279&amp;G$15,PriceChangeData!$F:$F,0)),0)+G278,"")</f>
        <v/>
      </c>
      <c r="H279" s="19" t="str">
        <f>IF(AND($C279&lt;&gt;"",H$15&lt;&gt;""),IFERROR(INDEX(PriceChangeData!$C:$C,MATCH($C279&amp;H$15,PriceChangeData!$F:$F,0)),0)+H278,"")</f>
        <v/>
      </c>
    </row>
    <row r="280" spans="3:8" x14ac:dyDescent="0.25">
      <c r="C280" s="18">
        <f t="shared" si="6"/>
        <v>43465</v>
      </c>
      <c r="D280" s="10">
        <f>IF(AND($C280&lt;&gt;"",D$15&lt;&gt;""),IFERROR(INDEX(PriceChangeData!$C:$C,MATCH($C280&amp;D$15,PriceChangeData!$F:$F,0)),0)+D279,"")</f>
        <v>1.5500583663447365E-2</v>
      </c>
      <c r="E280" s="11" t="str">
        <f>IF(AND($C280&lt;&gt;"",E$15&lt;&gt;""),IFERROR(INDEX(PriceChangeData!$C:$C,MATCH($C280&amp;E$15,PriceChangeData!$F:$F,0)),0)+E279,"")</f>
        <v/>
      </c>
      <c r="F280" s="11" t="str">
        <f>IF(AND($C280&lt;&gt;"",F$15&lt;&gt;""),IFERROR(INDEX(PriceChangeData!$C:$C,MATCH($C280&amp;F$15,PriceChangeData!$F:$F,0)),0)+F279,"")</f>
        <v/>
      </c>
      <c r="G280" s="11" t="str">
        <f>IF(AND($C280&lt;&gt;"",G$15&lt;&gt;""),IFERROR(INDEX(PriceChangeData!$C:$C,MATCH($C280&amp;G$15,PriceChangeData!$F:$F,0)),0)+G279,"")</f>
        <v/>
      </c>
      <c r="H280" s="19" t="str">
        <f>IF(AND($C280&lt;&gt;"",H$15&lt;&gt;""),IFERROR(INDEX(PriceChangeData!$C:$C,MATCH($C280&amp;H$15,PriceChangeData!$F:$F,0)),0)+H279,"")</f>
        <v/>
      </c>
    </row>
    <row r="281" spans="3:8" x14ac:dyDescent="0.25">
      <c r="C281" s="18">
        <f t="shared" si="6"/>
        <v>43466</v>
      </c>
      <c r="D281" s="10">
        <f>IF(AND($C281&lt;&gt;"",D$15&lt;&gt;""),IFERROR(INDEX(PriceChangeData!$C:$C,MATCH($C281&amp;D$15,PriceChangeData!$F:$F,0)),0)+D280,"")</f>
        <v>1.5500583663447365E-2</v>
      </c>
      <c r="E281" s="11" t="str">
        <f>IF(AND($C281&lt;&gt;"",E$15&lt;&gt;""),IFERROR(INDEX(PriceChangeData!$C:$C,MATCH($C281&amp;E$15,PriceChangeData!$F:$F,0)),0)+E280,"")</f>
        <v/>
      </c>
      <c r="F281" s="11" t="str">
        <f>IF(AND($C281&lt;&gt;"",F$15&lt;&gt;""),IFERROR(INDEX(PriceChangeData!$C:$C,MATCH($C281&amp;F$15,PriceChangeData!$F:$F,0)),0)+F280,"")</f>
        <v/>
      </c>
      <c r="G281" s="11" t="str">
        <f>IF(AND($C281&lt;&gt;"",G$15&lt;&gt;""),IFERROR(INDEX(PriceChangeData!$C:$C,MATCH($C281&amp;G$15,PriceChangeData!$F:$F,0)),0)+G280,"")</f>
        <v/>
      </c>
      <c r="H281" s="19" t="str">
        <f>IF(AND($C281&lt;&gt;"",H$15&lt;&gt;""),IFERROR(INDEX(PriceChangeData!$C:$C,MATCH($C281&amp;H$15,PriceChangeData!$F:$F,0)),0)+H280,"")</f>
        <v/>
      </c>
    </row>
    <row r="282" spans="3:8" x14ac:dyDescent="0.25">
      <c r="C282" s="18">
        <f t="shared" si="6"/>
        <v>43467</v>
      </c>
      <c r="D282" s="10">
        <f>IF(AND($C282&lt;&gt;"",D$15&lt;&gt;""),IFERROR(INDEX(PriceChangeData!$C:$C,MATCH($C282&amp;D$15,PriceChangeData!$F:$F,0)),0)+D281,"")</f>
        <v>-1.7133369030336416E-2</v>
      </c>
      <c r="E282" s="11" t="str">
        <f>IF(AND($C282&lt;&gt;"",E$15&lt;&gt;""),IFERROR(INDEX(PriceChangeData!$C:$C,MATCH($C282&amp;E$15,PriceChangeData!$F:$F,0)),0)+E281,"")</f>
        <v/>
      </c>
      <c r="F282" s="11" t="str">
        <f>IF(AND($C282&lt;&gt;"",F$15&lt;&gt;""),IFERROR(INDEX(PriceChangeData!$C:$C,MATCH($C282&amp;F$15,PriceChangeData!$F:$F,0)),0)+F281,"")</f>
        <v/>
      </c>
      <c r="G282" s="11" t="str">
        <f>IF(AND($C282&lt;&gt;"",G$15&lt;&gt;""),IFERROR(INDEX(PriceChangeData!$C:$C,MATCH($C282&amp;G$15,PriceChangeData!$F:$F,0)),0)+G281,"")</f>
        <v/>
      </c>
      <c r="H282" s="19" t="str">
        <f>IF(AND($C282&lt;&gt;"",H$15&lt;&gt;""),IFERROR(INDEX(PriceChangeData!$C:$C,MATCH($C282&amp;H$15,PriceChangeData!$F:$F,0)),0)+H281,"")</f>
        <v/>
      </c>
    </row>
    <row r="283" spans="3:8" x14ac:dyDescent="0.25">
      <c r="C283" s="18">
        <f t="shared" si="6"/>
        <v>43468</v>
      </c>
      <c r="D283" s="10">
        <f>IF(AND($C283&lt;&gt;"",D$15&lt;&gt;""),IFERROR(INDEX(PriceChangeData!$C:$C,MATCH($C283&amp;D$15,PriceChangeData!$F:$F,0)),0)+D282,"")</f>
        <v>-5.0637201113578174E-2</v>
      </c>
      <c r="E283" s="11" t="str">
        <f>IF(AND($C283&lt;&gt;"",E$15&lt;&gt;""),IFERROR(INDEX(PriceChangeData!$C:$C,MATCH($C283&amp;E$15,PriceChangeData!$F:$F,0)),0)+E282,"")</f>
        <v/>
      </c>
      <c r="F283" s="11" t="str">
        <f>IF(AND($C283&lt;&gt;"",F$15&lt;&gt;""),IFERROR(INDEX(PriceChangeData!$C:$C,MATCH($C283&amp;F$15,PriceChangeData!$F:$F,0)),0)+F282,"")</f>
        <v/>
      </c>
      <c r="G283" s="11" t="str">
        <f>IF(AND($C283&lt;&gt;"",G$15&lt;&gt;""),IFERROR(INDEX(PriceChangeData!$C:$C,MATCH($C283&amp;G$15,PriceChangeData!$F:$F,0)),0)+G282,"")</f>
        <v/>
      </c>
      <c r="H283" s="19" t="str">
        <f>IF(AND($C283&lt;&gt;"",H$15&lt;&gt;""),IFERROR(INDEX(PriceChangeData!$C:$C,MATCH($C283&amp;H$15,PriceChangeData!$F:$F,0)),0)+H282,"")</f>
        <v/>
      </c>
    </row>
    <row r="284" spans="3:8" x14ac:dyDescent="0.25">
      <c r="C284" s="18">
        <f t="shared" si="6"/>
        <v>43469</v>
      </c>
      <c r="D284" s="10">
        <f>IF(AND($C284&lt;&gt;"",D$15&lt;&gt;""),IFERROR(INDEX(PriceChangeData!$C:$C,MATCH($C284&amp;D$15,PriceChangeData!$F:$F,0)),0)+D283,"")</f>
        <v>-1.8928535508513249E-2</v>
      </c>
      <c r="E284" s="11" t="str">
        <f>IF(AND($C284&lt;&gt;"",E$15&lt;&gt;""),IFERROR(INDEX(PriceChangeData!$C:$C,MATCH($C284&amp;E$15,PriceChangeData!$F:$F,0)),0)+E283,"")</f>
        <v/>
      </c>
      <c r="F284" s="11" t="str">
        <f>IF(AND($C284&lt;&gt;"",F$15&lt;&gt;""),IFERROR(INDEX(PriceChangeData!$C:$C,MATCH($C284&amp;F$15,PriceChangeData!$F:$F,0)),0)+F283,"")</f>
        <v/>
      </c>
      <c r="G284" s="11" t="str">
        <f>IF(AND($C284&lt;&gt;"",G$15&lt;&gt;""),IFERROR(INDEX(PriceChangeData!$C:$C,MATCH($C284&amp;G$15,PriceChangeData!$F:$F,0)),0)+G283,"")</f>
        <v/>
      </c>
      <c r="H284" s="19" t="str">
        <f>IF(AND($C284&lt;&gt;"",H$15&lt;&gt;""),IFERROR(INDEX(PriceChangeData!$C:$C,MATCH($C284&amp;H$15,PriceChangeData!$F:$F,0)),0)+H283,"")</f>
        <v/>
      </c>
    </row>
    <row r="285" spans="3:8" x14ac:dyDescent="0.25">
      <c r="C285" s="18">
        <f t="shared" si="6"/>
        <v>43470</v>
      </c>
      <c r="D285" s="10">
        <f>IF(AND($C285&lt;&gt;"",D$15&lt;&gt;""),IFERROR(INDEX(PriceChangeData!$C:$C,MATCH($C285&amp;D$15,PriceChangeData!$F:$F,0)),0)+D284,"")</f>
        <v>-1.8928535508513249E-2</v>
      </c>
      <c r="E285" s="11" t="str">
        <f>IF(AND($C285&lt;&gt;"",E$15&lt;&gt;""),IFERROR(INDEX(PriceChangeData!$C:$C,MATCH($C285&amp;E$15,PriceChangeData!$F:$F,0)),0)+E284,"")</f>
        <v/>
      </c>
      <c r="F285" s="11" t="str">
        <f>IF(AND($C285&lt;&gt;"",F$15&lt;&gt;""),IFERROR(INDEX(PriceChangeData!$C:$C,MATCH($C285&amp;F$15,PriceChangeData!$F:$F,0)),0)+F284,"")</f>
        <v/>
      </c>
      <c r="G285" s="11" t="str">
        <f>IF(AND($C285&lt;&gt;"",G$15&lt;&gt;""),IFERROR(INDEX(PriceChangeData!$C:$C,MATCH($C285&amp;G$15,PriceChangeData!$F:$F,0)),0)+G284,"")</f>
        <v/>
      </c>
      <c r="H285" s="19" t="str">
        <f>IF(AND($C285&lt;&gt;"",H$15&lt;&gt;""),IFERROR(INDEX(PriceChangeData!$C:$C,MATCH($C285&amp;H$15,PriceChangeData!$F:$F,0)),0)+H284,"")</f>
        <v/>
      </c>
    </row>
    <row r="286" spans="3:8" x14ac:dyDescent="0.25">
      <c r="C286" s="18">
        <f t="shared" si="6"/>
        <v>43471</v>
      </c>
      <c r="D286" s="10">
        <f>IF(AND($C286&lt;&gt;"",D$15&lt;&gt;""),IFERROR(INDEX(PriceChangeData!$C:$C,MATCH($C286&amp;D$15,PriceChangeData!$F:$F,0)),0)+D285,"")</f>
        <v>-1.8928535508513249E-2</v>
      </c>
      <c r="E286" s="11" t="str">
        <f>IF(AND($C286&lt;&gt;"",E$15&lt;&gt;""),IFERROR(INDEX(PriceChangeData!$C:$C,MATCH($C286&amp;E$15,PriceChangeData!$F:$F,0)),0)+E285,"")</f>
        <v/>
      </c>
      <c r="F286" s="11" t="str">
        <f>IF(AND($C286&lt;&gt;"",F$15&lt;&gt;""),IFERROR(INDEX(PriceChangeData!$C:$C,MATCH($C286&amp;F$15,PriceChangeData!$F:$F,0)),0)+F285,"")</f>
        <v/>
      </c>
      <c r="G286" s="11" t="str">
        <f>IF(AND($C286&lt;&gt;"",G$15&lt;&gt;""),IFERROR(INDEX(PriceChangeData!$C:$C,MATCH($C286&amp;G$15,PriceChangeData!$F:$F,0)),0)+G285,"")</f>
        <v/>
      </c>
      <c r="H286" s="19" t="str">
        <f>IF(AND($C286&lt;&gt;"",H$15&lt;&gt;""),IFERROR(INDEX(PriceChangeData!$C:$C,MATCH($C286&amp;H$15,PriceChangeData!$F:$F,0)),0)+H285,"")</f>
        <v/>
      </c>
    </row>
    <row r="287" spans="3:8" x14ac:dyDescent="0.25">
      <c r="C287" s="18">
        <f t="shared" si="6"/>
        <v>43472</v>
      </c>
      <c r="D287" s="10">
        <f>IF(AND($C287&lt;&gt;"",D$15&lt;&gt;""),IFERROR(INDEX(PriceChangeData!$C:$C,MATCH($C287&amp;D$15,PriceChangeData!$F:$F,0)),0)+D286,"")</f>
        <v>-4.4381854526163826E-3</v>
      </c>
      <c r="E287" s="11" t="str">
        <f>IF(AND($C287&lt;&gt;"",E$15&lt;&gt;""),IFERROR(INDEX(PriceChangeData!$C:$C,MATCH($C287&amp;E$15,PriceChangeData!$F:$F,0)),0)+E286,"")</f>
        <v/>
      </c>
      <c r="F287" s="11" t="str">
        <f>IF(AND($C287&lt;&gt;"",F$15&lt;&gt;""),IFERROR(INDEX(PriceChangeData!$C:$C,MATCH($C287&amp;F$15,PriceChangeData!$F:$F,0)),0)+F286,"")</f>
        <v/>
      </c>
      <c r="G287" s="11" t="str">
        <f>IF(AND($C287&lt;&gt;"",G$15&lt;&gt;""),IFERROR(INDEX(PriceChangeData!$C:$C,MATCH($C287&amp;G$15,PriceChangeData!$F:$F,0)),0)+G286,"")</f>
        <v/>
      </c>
      <c r="H287" s="19" t="str">
        <f>IF(AND($C287&lt;&gt;"",H$15&lt;&gt;""),IFERROR(INDEX(PriceChangeData!$C:$C,MATCH($C287&amp;H$15,PriceChangeData!$F:$F,0)),0)+H286,"")</f>
        <v/>
      </c>
    </row>
    <row r="288" spans="3:8" x14ac:dyDescent="0.25">
      <c r="C288" s="18">
        <f t="shared" si="6"/>
        <v>43473</v>
      </c>
      <c r="D288" s="10">
        <f>IF(AND($C288&lt;&gt;"",D$15&lt;&gt;""),IFERROR(INDEX(PriceChangeData!$C:$C,MATCH($C288&amp;D$15,PriceChangeData!$F:$F,0)),0)+D287,"")</f>
        <v>1.9848106299440865E-4</v>
      </c>
      <c r="E288" s="11" t="str">
        <f>IF(AND($C288&lt;&gt;"",E$15&lt;&gt;""),IFERROR(INDEX(PriceChangeData!$C:$C,MATCH($C288&amp;E$15,PriceChangeData!$F:$F,0)),0)+E287,"")</f>
        <v/>
      </c>
      <c r="F288" s="11" t="str">
        <f>IF(AND($C288&lt;&gt;"",F$15&lt;&gt;""),IFERROR(INDEX(PriceChangeData!$C:$C,MATCH($C288&amp;F$15,PriceChangeData!$F:$F,0)),0)+F287,"")</f>
        <v/>
      </c>
      <c r="G288" s="11" t="str">
        <f>IF(AND($C288&lt;&gt;"",G$15&lt;&gt;""),IFERROR(INDEX(PriceChangeData!$C:$C,MATCH($C288&amp;G$15,PriceChangeData!$F:$F,0)),0)+G287,"")</f>
        <v/>
      </c>
      <c r="H288" s="19" t="str">
        <f>IF(AND($C288&lt;&gt;"",H$15&lt;&gt;""),IFERROR(INDEX(PriceChangeData!$C:$C,MATCH($C288&amp;H$15,PriceChangeData!$F:$F,0)),0)+H287,"")</f>
        <v/>
      </c>
    </row>
    <row r="289" spans="3:8" x14ac:dyDescent="0.25">
      <c r="C289" s="18">
        <f t="shared" si="6"/>
        <v>43474</v>
      </c>
      <c r="D289" s="10">
        <f>IF(AND($C289&lt;&gt;"",D$15&lt;&gt;""),IFERROR(INDEX(PriceChangeData!$C:$C,MATCH($C289&amp;D$15,PriceChangeData!$F:$F,0)),0)+D288,"")</f>
        <v>-3.3175338022869032E-2</v>
      </c>
      <c r="E289" s="11" t="str">
        <f>IF(AND($C289&lt;&gt;"",E$15&lt;&gt;""),IFERROR(INDEX(PriceChangeData!$C:$C,MATCH($C289&amp;E$15,PriceChangeData!$F:$F,0)),0)+E288,"")</f>
        <v/>
      </c>
      <c r="F289" s="11" t="str">
        <f>IF(AND($C289&lt;&gt;"",F$15&lt;&gt;""),IFERROR(INDEX(PriceChangeData!$C:$C,MATCH($C289&amp;F$15,PriceChangeData!$F:$F,0)),0)+F288,"")</f>
        <v/>
      </c>
      <c r="G289" s="11" t="str">
        <f>IF(AND($C289&lt;&gt;"",G$15&lt;&gt;""),IFERROR(INDEX(PriceChangeData!$C:$C,MATCH($C289&amp;G$15,PriceChangeData!$F:$F,0)),0)+G288,"")</f>
        <v/>
      </c>
      <c r="H289" s="19" t="str">
        <f>IF(AND($C289&lt;&gt;"",H$15&lt;&gt;""),IFERROR(INDEX(PriceChangeData!$C:$C,MATCH($C289&amp;H$15,PriceChangeData!$F:$F,0)),0)+H288,"")</f>
        <v/>
      </c>
    </row>
    <row r="290" spans="3:8" x14ac:dyDescent="0.25">
      <c r="C290" s="18">
        <f t="shared" si="6"/>
        <v>43475</v>
      </c>
      <c r="D290" s="10">
        <f>IF(AND($C290&lt;&gt;"",D$15&lt;&gt;""),IFERROR(INDEX(PriceChangeData!$C:$C,MATCH($C290&amp;D$15,PriceChangeData!$F:$F,0)),0)+D289,"")</f>
        <v>-2.8743475008359116E-2</v>
      </c>
      <c r="E290" s="11" t="str">
        <f>IF(AND($C290&lt;&gt;"",E$15&lt;&gt;""),IFERROR(INDEX(PriceChangeData!$C:$C,MATCH($C290&amp;E$15,PriceChangeData!$F:$F,0)),0)+E289,"")</f>
        <v/>
      </c>
      <c r="F290" s="11" t="str">
        <f>IF(AND($C290&lt;&gt;"",F$15&lt;&gt;""),IFERROR(INDEX(PriceChangeData!$C:$C,MATCH($C290&amp;F$15,PriceChangeData!$F:$F,0)),0)+F289,"")</f>
        <v/>
      </c>
      <c r="G290" s="11" t="str">
        <f>IF(AND($C290&lt;&gt;"",G$15&lt;&gt;""),IFERROR(INDEX(PriceChangeData!$C:$C,MATCH($C290&amp;G$15,PriceChangeData!$F:$F,0)),0)+G289,"")</f>
        <v/>
      </c>
      <c r="H290" s="19" t="str">
        <f>IF(AND($C290&lt;&gt;"",H$15&lt;&gt;""),IFERROR(INDEX(PriceChangeData!$C:$C,MATCH($C290&amp;H$15,PriceChangeData!$F:$F,0)),0)+H289,"")</f>
        <v/>
      </c>
    </row>
    <row r="291" spans="3:8" x14ac:dyDescent="0.25">
      <c r="C291" s="18">
        <f t="shared" si="6"/>
        <v>43476</v>
      </c>
      <c r="D291" s="10">
        <f>IF(AND($C291&lt;&gt;"",D$15&lt;&gt;""),IFERROR(INDEX(PriceChangeData!$C:$C,MATCH($C291&amp;D$15,PriceChangeData!$F:$F,0)),0)+D290,"")</f>
        <v>-2.7497857733489072E-2</v>
      </c>
      <c r="E291" s="11" t="str">
        <f>IF(AND($C291&lt;&gt;"",E$15&lt;&gt;""),IFERROR(INDEX(PriceChangeData!$C:$C,MATCH($C291&amp;E$15,PriceChangeData!$F:$F,0)),0)+E290,"")</f>
        <v/>
      </c>
      <c r="F291" s="11" t="str">
        <f>IF(AND($C291&lt;&gt;"",F$15&lt;&gt;""),IFERROR(INDEX(PriceChangeData!$C:$C,MATCH($C291&amp;F$15,PriceChangeData!$F:$F,0)),0)+F290,"")</f>
        <v/>
      </c>
      <c r="G291" s="11" t="str">
        <f>IF(AND($C291&lt;&gt;"",G$15&lt;&gt;""),IFERROR(INDEX(PriceChangeData!$C:$C,MATCH($C291&amp;G$15,PriceChangeData!$F:$F,0)),0)+G290,"")</f>
        <v/>
      </c>
      <c r="H291" s="19" t="str">
        <f>IF(AND($C291&lt;&gt;"",H$15&lt;&gt;""),IFERROR(INDEX(PriceChangeData!$C:$C,MATCH($C291&amp;H$15,PriceChangeData!$F:$F,0)),0)+H290,"")</f>
        <v/>
      </c>
    </row>
    <row r="292" spans="3:8" x14ac:dyDescent="0.25">
      <c r="C292" s="18">
        <f t="shared" si="6"/>
        <v>43477</v>
      </c>
      <c r="D292" s="10">
        <f>IF(AND($C292&lt;&gt;"",D$15&lt;&gt;""),IFERROR(INDEX(PriceChangeData!$C:$C,MATCH($C292&amp;D$15,PriceChangeData!$F:$F,0)),0)+D291,"")</f>
        <v>-2.7497857733489072E-2</v>
      </c>
      <c r="E292" s="11" t="str">
        <f>IF(AND($C292&lt;&gt;"",E$15&lt;&gt;""),IFERROR(INDEX(PriceChangeData!$C:$C,MATCH($C292&amp;E$15,PriceChangeData!$F:$F,0)),0)+E291,"")</f>
        <v/>
      </c>
      <c r="F292" s="11" t="str">
        <f>IF(AND($C292&lt;&gt;"",F$15&lt;&gt;""),IFERROR(INDEX(PriceChangeData!$C:$C,MATCH($C292&amp;F$15,PriceChangeData!$F:$F,0)),0)+F291,"")</f>
        <v/>
      </c>
      <c r="G292" s="11" t="str">
        <f>IF(AND($C292&lt;&gt;"",G$15&lt;&gt;""),IFERROR(INDEX(PriceChangeData!$C:$C,MATCH($C292&amp;G$15,PriceChangeData!$F:$F,0)),0)+G291,"")</f>
        <v/>
      </c>
      <c r="H292" s="19" t="str">
        <f>IF(AND($C292&lt;&gt;"",H$15&lt;&gt;""),IFERROR(INDEX(PriceChangeData!$C:$C,MATCH($C292&amp;H$15,PriceChangeData!$F:$F,0)),0)+H291,"")</f>
        <v/>
      </c>
    </row>
    <row r="293" spans="3:8" x14ac:dyDescent="0.25">
      <c r="C293" s="18">
        <f t="shared" si="6"/>
        <v>43478</v>
      </c>
      <c r="D293" s="10">
        <f>IF(AND($C293&lt;&gt;"",D$15&lt;&gt;""),IFERROR(INDEX(PriceChangeData!$C:$C,MATCH($C293&amp;D$15,PriceChangeData!$F:$F,0)),0)+D292,"")</f>
        <v>-2.7497857733489072E-2</v>
      </c>
      <c r="E293" s="11" t="str">
        <f>IF(AND($C293&lt;&gt;"",E$15&lt;&gt;""),IFERROR(INDEX(PriceChangeData!$C:$C,MATCH($C293&amp;E$15,PriceChangeData!$F:$F,0)),0)+E292,"")</f>
        <v/>
      </c>
      <c r="F293" s="11" t="str">
        <f>IF(AND($C293&lt;&gt;"",F$15&lt;&gt;""),IFERROR(INDEX(PriceChangeData!$C:$C,MATCH($C293&amp;F$15,PriceChangeData!$F:$F,0)),0)+F292,"")</f>
        <v/>
      </c>
      <c r="G293" s="11" t="str">
        <f>IF(AND($C293&lt;&gt;"",G$15&lt;&gt;""),IFERROR(INDEX(PriceChangeData!$C:$C,MATCH($C293&amp;G$15,PriceChangeData!$F:$F,0)),0)+G292,"")</f>
        <v/>
      </c>
      <c r="H293" s="19" t="str">
        <f>IF(AND($C293&lt;&gt;"",H$15&lt;&gt;""),IFERROR(INDEX(PriceChangeData!$C:$C,MATCH($C293&amp;H$15,PriceChangeData!$F:$F,0)),0)+H292,"")</f>
        <v/>
      </c>
    </row>
    <row r="294" spans="3:8" x14ac:dyDescent="0.25">
      <c r="C294" s="18">
        <f t="shared" si="6"/>
        <v>43479</v>
      </c>
      <c r="D294" s="10">
        <f>IF(AND($C294&lt;&gt;"",D$15&lt;&gt;""),IFERROR(INDEX(PriceChangeData!$C:$C,MATCH($C294&amp;D$15,PriceChangeData!$F:$F,0)),0)+D293,"")</f>
        <v>-5.6337065666818967E-2</v>
      </c>
      <c r="E294" s="11" t="str">
        <f>IF(AND($C294&lt;&gt;"",E$15&lt;&gt;""),IFERROR(INDEX(PriceChangeData!$C:$C,MATCH($C294&amp;E$15,PriceChangeData!$F:$F,0)),0)+E293,"")</f>
        <v/>
      </c>
      <c r="F294" s="11" t="str">
        <f>IF(AND($C294&lt;&gt;"",F$15&lt;&gt;""),IFERROR(INDEX(PriceChangeData!$C:$C,MATCH($C294&amp;F$15,PriceChangeData!$F:$F,0)),0)+F293,"")</f>
        <v/>
      </c>
      <c r="G294" s="11" t="str">
        <f>IF(AND($C294&lt;&gt;"",G$15&lt;&gt;""),IFERROR(INDEX(PriceChangeData!$C:$C,MATCH($C294&amp;G$15,PriceChangeData!$F:$F,0)),0)+G293,"")</f>
        <v/>
      </c>
      <c r="H294" s="19" t="str">
        <f>IF(AND($C294&lt;&gt;"",H$15&lt;&gt;""),IFERROR(INDEX(PriceChangeData!$C:$C,MATCH($C294&amp;H$15,PriceChangeData!$F:$F,0)),0)+H293,"")</f>
        <v/>
      </c>
    </row>
    <row r="295" spans="3:8" x14ac:dyDescent="0.25">
      <c r="C295" s="18">
        <f t="shared" si="6"/>
        <v>43480</v>
      </c>
      <c r="D295" s="10">
        <f>IF(AND($C295&lt;&gt;"",D$15&lt;&gt;""),IFERROR(INDEX(PriceChangeData!$C:$C,MATCH($C295&amp;D$15,PriceChangeData!$F:$F,0)),0)+D294,"")</f>
        <v>-4.7644423124202924E-2</v>
      </c>
      <c r="E295" s="11" t="str">
        <f>IF(AND($C295&lt;&gt;"",E$15&lt;&gt;""),IFERROR(INDEX(PriceChangeData!$C:$C,MATCH($C295&amp;E$15,PriceChangeData!$F:$F,0)),0)+E294,"")</f>
        <v/>
      </c>
      <c r="F295" s="11" t="str">
        <f>IF(AND($C295&lt;&gt;"",F$15&lt;&gt;""),IFERROR(INDEX(PriceChangeData!$C:$C,MATCH($C295&amp;F$15,PriceChangeData!$F:$F,0)),0)+F294,"")</f>
        <v/>
      </c>
      <c r="G295" s="11" t="str">
        <f>IF(AND($C295&lt;&gt;"",G$15&lt;&gt;""),IFERROR(INDEX(PriceChangeData!$C:$C,MATCH($C295&amp;G$15,PriceChangeData!$F:$F,0)),0)+G294,"")</f>
        <v/>
      </c>
      <c r="H295" s="19" t="str">
        <f>IF(AND($C295&lt;&gt;"",H$15&lt;&gt;""),IFERROR(INDEX(PriceChangeData!$C:$C,MATCH($C295&amp;H$15,PriceChangeData!$F:$F,0)),0)+H294,"")</f>
        <v/>
      </c>
    </row>
    <row r="296" spans="3:8" x14ac:dyDescent="0.25">
      <c r="C296" s="18">
        <f t="shared" si="6"/>
        <v>43481</v>
      </c>
      <c r="D296" s="10">
        <f>IF(AND($C296&lt;&gt;"",D$15&lt;&gt;""),IFERROR(INDEX(PriceChangeData!$C:$C,MATCH($C296&amp;D$15,PriceChangeData!$F:$F,0)),0)+D295,"")</f>
        <v>-4.7059798728715047E-2</v>
      </c>
      <c r="E296" s="11" t="str">
        <f>IF(AND($C296&lt;&gt;"",E$15&lt;&gt;""),IFERROR(INDEX(PriceChangeData!$C:$C,MATCH($C296&amp;E$15,PriceChangeData!$F:$F,0)),0)+E295,"")</f>
        <v/>
      </c>
      <c r="F296" s="11" t="str">
        <f>IF(AND($C296&lt;&gt;"",F$15&lt;&gt;""),IFERROR(INDEX(PriceChangeData!$C:$C,MATCH($C296&amp;F$15,PriceChangeData!$F:$F,0)),0)+F295,"")</f>
        <v/>
      </c>
      <c r="G296" s="11" t="str">
        <f>IF(AND($C296&lt;&gt;"",G$15&lt;&gt;""),IFERROR(INDEX(PriceChangeData!$C:$C,MATCH($C296&amp;G$15,PriceChangeData!$F:$F,0)),0)+G295,"")</f>
        <v/>
      </c>
      <c r="H296" s="19" t="str">
        <f>IF(AND($C296&lt;&gt;"",H$15&lt;&gt;""),IFERROR(INDEX(PriceChangeData!$C:$C,MATCH($C296&amp;H$15,PriceChangeData!$F:$F,0)),0)+H295,"")</f>
        <v/>
      </c>
    </row>
    <row r="297" spans="3:8" x14ac:dyDescent="0.25">
      <c r="C297" s="18">
        <f t="shared" si="6"/>
        <v>43482</v>
      </c>
      <c r="D297" s="10">
        <f>IF(AND($C297&lt;&gt;"",D$15&lt;&gt;""),IFERROR(INDEX(PriceChangeData!$C:$C,MATCH($C297&amp;D$15,PriceChangeData!$F:$F,0)),0)+D296,"")</f>
        <v>-2.7956468151983441E-2</v>
      </c>
      <c r="E297" s="11" t="str">
        <f>IF(AND($C297&lt;&gt;"",E$15&lt;&gt;""),IFERROR(INDEX(PriceChangeData!$C:$C,MATCH($C297&amp;E$15,PriceChangeData!$F:$F,0)),0)+E296,"")</f>
        <v/>
      </c>
      <c r="F297" s="11" t="str">
        <f>IF(AND($C297&lt;&gt;"",F$15&lt;&gt;""),IFERROR(INDEX(PriceChangeData!$C:$C,MATCH($C297&amp;F$15,PriceChangeData!$F:$F,0)),0)+F296,"")</f>
        <v/>
      </c>
      <c r="G297" s="11" t="str">
        <f>IF(AND($C297&lt;&gt;"",G$15&lt;&gt;""),IFERROR(INDEX(PriceChangeData!$C:$C,MATCH($C297&amp;G$15,PriceChangeData!$F:$F,0)),0)+G296,"")</f>
        <v/>
      </c>
      <c r="H297" s="19" t="str">
        <f>IF(AND($C297&lt;&gt;"",H$15&lt;&gt;""),IFERROR(INDEX(PriceChangeData!$C:$C,MATCH($C297&amp;H$15,PriceChangeData!$F:$F,0)),0)+H296,"")</f>
        <v/>
      </c>
    </row>
    <row r="298" spans="3:8" x14ac:dyDescent="0.25">
      <c r="C298" s="18">
        <f t="shared" si="6"/>
        <v>43483</v>
      </c>
      <c r="D298" s="10">
        <f>IF(AND($C298&lt;&gt;"",D$15&lt;&gt;""),IFERROR(INDEX(PriceChangeData!$C:$C,MATCH($C298&amp;D$15,PriceChangeData!$F:$F,0)),0)+D297,"")</f>
        <v>-1.9221737861078274E-3</v>
      </c>
      <c r="E298" s="11" t="str">
        <f>IF(AND($C298&lt;&gt;"",E$15&lt;&gt;""),IFERROR(INDEX(PriceChangeData!$C:$C,MATCH($C298&amp;E$15,PriceChangeData!$F:$F,0)),0)+E297,"")</f>
        <v/>
      </c>
      <c r="F298" s="11" t="str">
        <f>IF(AND($C298&lt;&gt;"",F$15&lt;&gt;""),IFERROR(INDEX(PriceChangeData!$C:$C,MATCH($C298&amp;F$15,PriceChangeData!$F:$F,0)),0)+F297,"")</f>
        <v/>
      </c>
      <c r="G298" s="11" t="str">
        <f>IF(AND($C298&lt;&gt;"",G$15&lt;&gt;""),IFERROR(INDEX(PriceChangeData!$C:$C,MATCH($C298&amp;G$15,PriceChangeData!$F:$F,0)),0)+G297,"")</f>
        <v/>
      </c>
      <c r="H298" s="19" t="str">
        <f>IF(AND($C298&lt;&gt;"",H$15&lt;&gt;""),IFERROR(INDEX(PriceChangeData!$C:$C,MATCH($C298&amp;H$15,PriceChangeData!$F:$F,0)),0)+H297,"")</f>
        <v/>
      </c>
    </row>
    <row r="299" spans="3:8" x14ac:dyDescent="0.25">
      <c r="C299" s="18">
        <f t="shared" si="6"/>
        <v>43484</v>
      </c>
      <c r="D299" s="10">
        <f>IF(AND($C299&lt;&gt;"",D$15&lt;&gt;""),IFERROR(INDEX(PriceChangeData!$C:$C,MATCH($C299&amp;D$15,PriceChangeData!$F:$F,0)),0)+D298,"")</f>
        <v>-1.9221737861078274E-3</v>
      </c>
      <c r="E299" s="11" t="str">
        <f>IF(AND($C299&lt;&gt;"",E$15&lt;&gt;""),IFERROR(INDEX(PriceChangeData!$C:$C,MATCH($C299&amp;E$15,PriceChangeData!$F:$F,0)),0)+E298,"")</f>
        <v/>
      </c>
      <c r="F299" s="11" t="str">
        <f>IF(AND($C299&lt;&gt;"",F$15&lt;&gt;""),IFERROR(INDEX(PriceChangeData!$C:$C,MATCH($C299&amp;F$15,PriceChangeData!$F:$F,0)),0)+F298,"")</f>
        <v/>
      </c>
      <c r="G299" s="11" t="str">
        <f>IF(AND($C299&lt;&gt;"",G$15&lt;&gt;""),IFERROR(INDEX(PriceChangeData!$C:$C,MATCH($C299&amp;G$15,PriceChangeData!$F:$F,0)),0)+G298,"")</f>
        <v/>
      </c>
      <c r="H299" s="19" t="str">
        <f>IF(AND($C299&lt;&gt;"",H$15&lt;&gt;""),IFERROR(INDEX(PriceChangeData!$C:$C,MATCH($C299&amp;H$15,PriceChangeData!$F:$F,0)),0)+H298,"")</f>
        <v/>
      </c>
    </row>
    <row r="300" spans="3:8" x14ac:dyDescent="0.25">
      <c r="C300" s="18">
        <f t="shared" si="6"/>
        <v>43485</v>
      </c>
      <c r="D300" s="10">
        <f>IF(AND($C300&lt;&gt;"",D$15&lt;&gt;""),IFERROR(INDEX(PriceChangeData!$C:$C,MATCH($C300&amp;D$15,PriceChangeData!$F:$F,0)),0)+D299,"")</f>
        <v>-1.9221737861078274E-3</v>
      </c>
      <c r="E300" s="11" t="str">
        <f>IF(AND($C300&lt;&gt;"",E$15&lt;&gt;""),IFERROR(INDEX(PriceChangeData!$C:$C,MATCH($C300&amp;E$15,PriceChangeData!$F:$F,0)),0)+E299,"")</f>
        <v/>
      </c>
      <c r="F300" s="11" t="str">
        <f>IF(AND($C300&lt;&gt;"",F$15&lt;&gt;""),IFERROR(INDEX(PriceChangeData!$C:$C,MATCH($C300&amp;F$15,PriceChangeData!$F:$F,0)),0)+F299,"")</f>
        <v/>
      </c>
      <c r="G300" s="11" t="str">
        <f>IF(AND($C300&lt;&gt;"",G$15&lt;&gt;""),IFERROR(INDEX(PriceChangeData!$C:$C,MATCH($C300&amp;G$15,PriceChangeData!$F:$F,0)),0)+G299,"")</f>
        <v/>
      </c>
      <c r="H300" s="19" t="str">
        <f>IF(AND($C300&lt;&gt;"",H$15&lt;&gt;""),IFERROR(INDEX(PriceChangeData!$C:$C,MATCH($C300&amp;H$15,PriceChangeData!$F:$F,0)),0)+H299,"")</f>
        <v/>
      </c>
    </row>
    <row r="301" spans="3:8" x14ac:dyDescent="0.25">
      <c r="C301" s="18">
        <f t="shared" si="6"/>
        <v>43486</v>
      </c>
      <c r="D301" s="10">
        <f>IF(AND($C301&lt;&gt;"",D$15&lt;&gt;""),IFERROR(INDEX(PriceChangeData!$C:$C,MATCH($C301&amp;D$15,PriceChangeData!$F:$F,0)),0)+D300,"")</f>
        <v>-1.9221737861078274E-3</v>
      </c>
      <c r="E301" s="11" t="str">
        <f>IF(AND($C301&lt;&gt;"",E$15&lt;&gt;""),IFERROR(INDEX(PriceChangeData!$C:$C,MATCH($C301&amp;E$15,PriceChangeData!$F:$F,0)),0)+E300,"")</f>
        <v/>
      </c>
      <c r="F301" s="11" t="str">
        <f>IF(AND($C301&lt;&gt;"",F$15&lt;&gt;""),IFERROR(INDEX(PriceChangeData!$C:$C,MATCH($C301&amp;F$15,PriceChangeData!$F:$F,0)),0)+F300,"")</f>
        <v/>
      </c>
      <c r="G301" s="11" t="str">
        <f>IF(AND($C301&lt;&gt;"",G$15&lt;&gt;""),IFERROR(INDEX(PriceChangeData!$C:$C,MATCH($C301&amp;G$15,PriceChangeData!$F:$F,0)),0)+G300,"")</f>
        <v/>
      </c>
      <c r="H301" s="19" t="str">
        <f>IF(AND($C301&lt;&gt;"",H$15&lt;&gt;""),IFERROR(INDEX(PriceChangeData!$C:$C,MATCH($C301&amp;H$15,PriceChangeData!$F:$F,0)),0)+H300,"")</f>
        <v/>
      </c>
    </row>
    <row r="302" spans="3:8" x14ac:dyDescent="0.25">
      <c r="C302" s="18">
        <f t="shared" si="6"/>
        <v>43487</v>
      </c>
      <c r="D302" s="10">
        <f>IF(AND($C302&lt;&gt;"",D$15&lt;&gt;""),IFERROR(INDEX(PriceChangeData!$C:$C,MATCH($C302&amp;D$15,PriceChangeData!$F:$F,0)),0)+D301,"")</f>
        <v>-1.1351969750010104E-2</v>
      </c>
      <c r="E302" s="11" t="str">
        <f>IF(AND($C302&lt;&gt;"",E$15&lt;&gt;""),IFERROR(INDEX(PriceChangeData!$C:$C,MATCH($C302&amp;E$15,PriceChangeData!$F:$F,0)),0)+E301,"")</f>
        <v/>
      </c>
      <c r="F302" s="11" t="str">
        <f>IF(AND($C302&lt;&gt;"",F$15&lt;&gt;""),IFERROR(INDEX(PriceChangeData!$C:$C,MATCH($C302&amp;F$15,PriceChangeData!$F:$F,0)),0)+F301,"")</f>
        <v/>
      </c>
      <c r="G302" s="11" t="str">
        <f>IF(AND($C302&lt;&gt;"",G$15&lt;&gt;""),IFERROR(INDEX(PriceChangeData!$C:$C,MATCH($C302&amp;G$15,PriceChangeData!$F:$F,0)),0)+G301,"")</f>
        <v/>
      </c>
      <c r="H302" s="19" t="str">
        <f>IF(AND($C302&lt;&gt;"",H$15&lt;&gt;""),IFERROR(INDEX(PriceChangeData!$C:$C,MATCH($C302&amp;H$15,PriceChangeData!$F:$F,0)),0)+H301,"")</f>
        <v/>
      </c>
    </row>
    <row r="303" spans="3:8" x14ac:dyDescent="0.25">
      <c r="C303" s="18">
        <f t="shared" si="6"/>
        <v>43488</v>
      </c>
      <c r="D303" s="10">
        <f>IF(AND($C303&lt;&gt;"",D$15&lt;&gt;""),IFERROR(INDEX(PriceChangeData!$C:$C,MATCH($C303&amp;D$15,PriceChangeData!$F:$F,0)),0)+D302,"")</f>
        <v>-1.3723378461123235E-2</v>
      </c>
      <c r="E303" s="11" t="str">
        <f>IF(AND($C303&lt;&gt;"",E$15&lt;&gt;""),IFERROR(INDEX(PriceChangeData!$C:$C,MATCH($C303&amp;E$15,PriceChangeData!$F:$F,0)),0)+E302,"")</f>
        <v/>
      </c>
      <c r="F303" s="11" t="str">
        <f>IF(AND($C303&lt;&gt;"",F$15&lt;&gt;""),IFERROR(INDEX(PriceChangeData!$C:$C,MATCH($C303&amp;F$15,PriceChangeData!$F:$F,0)),0)+F302,"")</f>
        <v/>
      </c>
      <c r="G303" s="11" t="str">
        <f>IF(AND($C303&lt;&gt;"",G$15&lt;&gt;""),IFERROR(INDEX(PriceChangeData!$C:$C,MATCH($C303&amp;G$15,PriceChangeData!$F:$F,0)),0)+G302,"")</f>
        <v/>
      </c>
      <c r="H303" s="19" t="str">
        <f>IF(AND($C303&lt;&gt;"",H$15&lt;&gt;""),IFERROR(INDEX(PriceChangeData!$C:$C,MATCH($C303&amp;H$15,PriceChangeData!$F:$F,0)),0)+H302,"")</f>
        <v/>
      </c>
    </row>
    <row r="304" spans="3:8" x14ac:dyDescent="0.25">
      <c r="C304" s="18">
        <f t="shared" si="6"/>
        <v>43489</v>
      </c>
      <c r="D304" s="10">
        <f>IF(AND($C304&lt;&gt;"",D$15&lt;&gt;""),IFERROR(INDEX(PriceChangeData!$C:$C,MATCH($C304&amp;D$15,PriceChangeData!$F:$F,0)),0)+D303,"")</f>
        <v>-4.3209826056337337E-2</v>
      </c>
      <c r="E304" s="11" t="str">
        <f>IF(AND($C304&lt;&gt;"",E$15&lt;&gt;""),IFERROR(INDEX(PriceChangeData!$C:$C,MATCH($C304&amp;E$15,PriceChangeData!$F:$F,0)),0)+E303,"")</f>
        <v/>
      </c>
      <c r="F304" s="11" t="str">
        <f>IF(AND($C304&lt;&gt;"",F$15&lt;&gt;""),IFERROR(INDEX(PriceChangeData!$C:$C,MATCH($C304&amp;F$15,PriceChangeData!$F:$F,0)),0)+F303,"")</f>
        <v/>
      </c>
      <c r="G304" s="11" t="str">
        <f>IF(AND($C304&lt;&gt;"",G$15&lt;&gt;""),IFERROR(INDEX(PriceChangeData!$C:$C,MATCH($C304&amp;G$15,PriceChangeData!$F:$F,0)),0)+G303,"")</f>
        <v/>
      </c>
      <c r="H304" s="19" t="str">
        <f>IF(AND($C304&lt;&gt;"",H$15&lt;&gt;""),IFERROR(INDEX(PriceChangeData!$C:$C,MATCH($C304&amp;H$15,PriceChangeData!$F:$F,0)),0)+H303,"")</f>
        <v/>
      </c>
    </row>
    <row r="305" spans="3:8" x14ac:dyDescent="0.25">
      <c r="C305" s="18">
        <f t="shared" si="6"/>
        <v>43490</v>
      </c>
      <c r="D305" s="10">
        <f>IF(AND($C305&lt;&gt;"",D$15&lt;&gt;""),IFERROR(INDEX(PriceChangeData!$C:$C,MATCH($C305&amp;D$15,PriceChangeData!$F:$F,0)),0)+D304,"")</f>
        <v>-0.10740684364360933</v>
      </c>
      <c r="E305" s="11" t="str">
        <f>IF(AND($C305&lt;&gt;"",E$15&lt;&gt;""),IFERROR(INDEX(PriceChangeData!$C:$C,MATCH($C305&amp;E$15,PriceChangeData!$F:$F,0)),0)+E304,"")</f>
        <v/>
      </c>
      <c r="F305" s="11" t="str">
        <f>IF(AND($C305&lt;&gt;"",F$15&lt;&gt;""),IFERROR(INDEX(PriceChangeData!$C:$C,MATCH($C305&amp;F$15,PriceChangeData!$F:$F,0)),0)+F304,"")</f>
        <v/>
      </c>
      <c r="G305" s="11" t="str">
        <f>IF(AND($C305&lt;&gt;"",G$15&lt;&gt;""),IFERROR(INDEX(PriceChangeData!$C:$C,MATCH($C305&amp;G$15,PriceChangeData!$F:$F,0)),0)+G304,"")</f>
        <v/>
      </c>
      <c r="H305" s="19" t="str">
        <f>IF(AND($C305&lt;&gt;"",H$15&lt;&gt;""),IFERROR(INDEX(PriceChangeData!$C:$C,MATCH($C305&amp;H$15,PriceChangeData!$F:$F,0)),0)+H304,"")</f>
        <v/>
      </c>
    </row>
    <row r="306" spans="3:8" x14ac:dyDescent="0.25">
      <c r="C306" s="18">
        <f t="shared" si="6"/>
        <v>43491</v>
      </c>
      <c r="D306" s="10">
        <f>IF(AND($C306&lt;&gt;"",D$15&lt;&gt;""),IFERROR(INDEX(PriceChangeData!$C:$C,MATCH($C306&amp;D$15,PriceChangeData!$F:$F,0)),0)+D305,"")</f>
        <v>-0.10740684364360933</v>
      </c>
      <c r="E306" s="11" t="str">
        <f>IF(AND($C306&lt;&gt;"",E$15&lt;&gt;""),IFERROR(INDEX(PriceChangeData!$C:$C,MATCH($C306&amp;E$15,PriceChangeData!$F:$F,0)),0)+E305,"")</f>
        <v/>
      </c>
      <c r="F306" s="11" t="str">
        <f>IF(AND($C306&lt;&gt;"",F$15&lt;&gt;""),IFERROR(INDEX(PriceChangeData!$C:$C,MATCH($C306&amp;F$15,PriceChangeData!$F:$F,0)),0)+F305,"")</f>
        <v/>
      </c>
      <c r="G306" s="11" t="str">
        <f>IF(AND($C306&lt;&gt;"",G$15&lt;&gt;""),IFERROR(INDEX(PriceChangeData!$C:$C,MATCH($C306&amp;G$15,PriceChangeData!$F:$F,0)),0)+G305,"")</f>
        <v/>
      </c>
      <c r="H306" s="19" t="str">
        <f>IF(AND($C306&lt;&gt;"",H$15&lt;&gt;""),IFERROR(INDEX(PriceChangeData!$C:$C,MATCH($C306&amp;H$15,PriceChangeData!$F:$F,0)),0)+H305,"")</f>
        <v/>
      </c>
    </row>
    <row r="307" spans="3:8" x14ac:dyDescent="0.25">
      <c r="C307" s="18">
        <f t="shared" si="6"/>
        <v>43492</v>
      </c>
      <c r="D307" s="10">
        <f>IF(AND($C307&lt;&gt;"",D$15&lt;&gt;""),IFERROR(INDEX(PriceChangeData!$C:$C,MATCH($C307&amp;D$15,PriceChangeData!$F:$F,0)),0)+D306,"")</f>
        <v>-0.10740684364360933</v>
      </c>
      <c r="E307" s="11" t="str">
        <f>IF(AND($C307&lt;&gt;"",E$15&lt;&gt;""),IFERROR(INDEX(PriceChangeData!$C:$C,MATCH($C307&amp;E$15,PriceChangeData!$F:$F,0)),0)+E306,"")</f>
        <v/>
      </c>
      <c r="F307" s="11" t="str">
        <f>IF(AND($C307&lt;&gt;"",F$15&lt;&gt;""),IFERROR(INDEX(PriceChangeData!$C:$C,MATCH($C307&amp;F$15,PriceChangeData!$F:$F,0)),0)+F306,"")</f>
        <v/>
      </c>
      <c r="G307" s="11" t="str">
        <f>IF(AND($C307&lt;&gt;"",G$15&lt;&gt;""),IFERROR(INDEX(PriceChangeData!$C:$C,MATCH($C307&amp;G$15,PriceChangeData!$F:$F,0)),0)+G306,"")</f>
        <v/>
      </c>
      <c r="H307" s="19" t="str">
        <f>IF(AND($C307&lt;&gt;"",H$15&lt;&gt;""),IFERROR(INDEX(PriceChangeData!$C:$C,MATCH($C307&amp;H$15,PriceChangeData!$F:$F,0)),0)+H306,"")</f>
        <v/>
      </c>
    </row>
    <row r="308" spans="3:8" x14ac:dyDescent="0.25">
      <c r="C308" s="18">
        <f t="shared" si="6"/>
        <v>43493</v>
      </c>
      <c r="D308" s="10">
        <f>IF(AND($C308&lt;&gt;"",D$15&lt;&gt;""),IFERROR(INDEX(PriceChangeData!$C:$C,MATCH($C308&amp;D$15,PriceChangeData!$F:$F,0)),0)+D307,"")</f>
        <v>-0.15053884628683575</v>
      </c>
      <c r="E308" s="11" t="str">
        <f>IF(AND($C308&lt;&gt;"",E$15&lt;&gt;""),IFERROR(INDEX(PriceChangeData!$C:$C,MATCH($C308&amp;E$15,PriceChangeData!$F:$F,0)),0)+E307,"")</f>
        <v/>
      </c>
      <c r="F308" s="11" t="str">
        <f>IF(AND($C308&lt;&gt;"",F$15&lt;&gt;""),IFERROR(INDEX(PriceChangeData!$C:$C,MATCH($C308&amp;F$15,PriceChangeData!$F:$F,0)),0)+F307,"")</f>
        <v/>
      </c>
      <c r="G308" s="11" t="str">
        <f>IF(AND($C308&lt;&gt;"",G$15&lt;&gt;""),IFERROR(INDEX(PriceChangeData!$C:$C,MATCH($C308&amp;G$15,PriceChangeData!$F:$F,0)),0)+G307,"")</f>
        <v/>
      </c>
      <c r="H308" s="19" t="str">
        <f>IF(AND($C308&lt;&gt;"",H$15&lt;&gt;""),IFERROR(INDEX(PriceChangeData!$C:$C,MATCH($C308&amp;H$15,PriceChangeData!$F:$F,0)),0)+H307,"")</f>
        <v/>
      </c>
    </row>
    <row r="309" spans="3:8" x14ac:dyDescent="0.25">
      <c r="C309" s="18">
        <f t="shared" si="6"/>
        <v>43494</v>
      </c>
      <c r="D309" s="10">
        <f>IF(AND($C309&lt;&gt;"",D$15&lt;&gt;""),IFERROR(INDEX(PriceChangeData!$C:$C,MATCH($C309&amp;D$15,PriceChangeData!$F:$F,0)),0)+D308,"")</f>
        <v>-0.14627003442310638</v>
      </c>
      <c r="E309" s="11" t="str">
        <f>IF(AND($C309&lt;&gt;"",E$15&lt;&gt;""),IFERROR(INDEX(PriceChangeData!$C:$C,MATCH($C309&amp;E$15,PriceChangeData!$F:$F,0)),0)+E308,"")</f>
        <v/>
      </c>
      <c r="F309" s="11" t="str">
        <f>IF(AND($C309&lt;&gt;"",F$15&lt;&gt;""),IFERROR(INDEX(PriceChangeData!$C:$C,MATCH($C309&amp;F$15,PriceChangeData!$F:$F,0)),0)+F308,"")</f>
        <v/>
      </c>
      <c r="G309" s="11" t="str">
        <f>IF(AND($C309&lt;&gt;"",G$15&lt;&gt;""),IFERROR(INDEX(PriceChangeData!$C:$C,MATCH($C309&amp;G$15,PriceChangeData!$F:$F,0)),0)+G308,"")</f>
        <v/>
      </c>
      <c r="H309" s="19" t="str">
        <f>IF(AND($C309&lt;&gt;"",H$15&lt;&gt;""),IFERROR(INDEX(PriceChangeData!$C:$C,MATCH($C309&amp;H$15,PriceChangeData!$F:$F,0)),0)+H308,"")</f>
        <v/>
      </c>
    </row>
    <row r="310" spans="3:8" x14ac:dyDescent="0.25">
      <c r="C310" s="18">
        <f t="shared" si="6"/>
        <v>43495</v>
      </c>
      <c r="D310" s="10">
        <f>IF(AND($C310&lt;&gt;"",D$15&lt;&gt;""),IFERROR(INDEX(PriceChangeData!$C:$C,MATCH($C310&amp;D$15,PriceChangeData!$F:$F,0)),0)+D309,"")</f>
        <v>-0.12595374119837804</v>
      </c>
      <c r="E310" s="11" t="str">
        <f>IF(AND($C310&lt;&gt;"",E$15&lt;&gt;""),IFERROR(INDEX(PriceChangeData!$C:$C,MATCH($C310&amp;E$15,PriceChangeData!$F:$F,0)),0)+E309,"")</f>
        <v/>
      </c>
      <c r="F310" s="11" t="str">
        <f>IF(AND($C310&lt;&gt;"",F$15&lt;&gt;""),IFERROR(INDEX(PriceChangeData!$C:$C,MATCH($C310&amp;F$15,PriceChangeData!$F:$F,0)),0)+F309,"")</f>
        <v/>
      </c>
      <c r="G310" s="11" t="str">
        <f>IF(AND($C310&lt;&gt;"",G$15&lt;&gt;""),IFERROR(INDEX(PriceChangeData!$C:$C,MATCH($C310&amp;G$15,PriceChangeData!$F:$F,0)),0)+G309,"")</f>
        <v/>
      </c>
      <c r="H310" s="19" t="str">
        <f>IF(AND($C310&lt;&gt;"",H$15&lt;&gt;""),IFERROR(INDEX(PriceChangeData!$C:$C,MATCH($C310&amp;H$15,PriceChangeData!$F:$F,0)),0)+H309,"")</f>
        <v/>
      </c>
    </row>
    <row r="311" spans="3:8" x14ac:dyDescent="0.25">
      <c r="C311" s="18">
        <f t="shared" si="6"/>
        <v>43496</v>
      </c>
      <c r="D311" s="10">
        <f>IF(AND($C311&lt;&gt;"",D$15&lt;&gt;""),IFERROR(INDEX(PriceChangeData!$C:$C,MATCH($C311&amp;D$15,PriceChangeData!$F:$F,0)),0)+D310,"")</f>
        <v>-0.11051571887032487</v>
      </c>
      <c r="E311" s="11" t="str">
        <f>IF(AND($C311&lt;&gt;"",E$15&lt;&gt;""),IFERROR(INDEX(PriceChangeData!$C:$C,MATCH($C311&amp;E$15,PriceChangeData!$F:$F,0)),0)+E310,"")</f>
        <v/>
      </c>
      <c r="F311" s="11" t="str">
        <f>IF(AND($C311&lt;&gt;"",F$15&lt;&gt;""),IFERROR(INDEX(PriceChangeData!$C:$C,MATCH($C311&amp;F$15,PriceChangeData!$F:$F,0)),0)+F310,"")</f>
        <v/>
      </c>
      <c r="G311" s="11" t="str">
        <f>IF(AND($C311&lt;&gt;"",G$15&lt;&gt;""),IFERROR(INDEX(PriceChangeData!$C:$C,MATCH($C311&amp;G$15,PriceChangeData!$F:$F,0)),0)+G310,"")</f>
        <v/>
      </c>
      <c r="H311" s="19" t="str">
        <f>IF(AND($C311&lt;&gt;"",H$15&lt;&gt;""),IFERROR(INDEX(PriceChangeData!$C:$C,MATCH($C311&amp;H$15,PriceChangeData!$F:$F,0)),0)+H310,"")</f>
        <v/>
      </c>
    </row>
    <row r="312" spans="3:8" x14ac:dyDescent="0.25">
      <c r="C312" s="18">
        <f t="shared" si="6"/>
        <v>43497</v>
      </c>
      <c r="D312" s="10">
        <f>IF(AND($C312&lt;&gt;"",D$15&lt;&gt;""),IFERROR(INDEX(PriceChangeData!$C:$C,MATCH($C312&amp;D$15,PriceChangeData!$F:$F,0)),0)+D311,"")</f>
        <v>-0.10790361464239991</v>
      </c>
      <c r="E312" s="11" t="str">
        <f>IF(AND($C312&lt;&gt;"",E$15&lt;&gt;""),IFERROR(INDEX(PriceChangeData!$C:$C,MATCH($C312&amp;E$15,PriceChangeData!$F:$F,0)),0)+E311,"")</f>
        <v/>
      </c>
      <c r="F312" s="11" t="str">
        <f>IF(AND($C312&lt;&gt;"",F$15&lt;&gt;""),IFERROR(INDEX(PriceChangeData!$C:$C,MATCH($C312&amp;F$15,PriceChangeData!$F:$F,0)),0)+F311,"")</f>
        <v/>
      </c>
      <c r="G312" s="11" t="str">
        <f>IF(AND($C312&lt;&gt;"",G$15&lt;&gt;""),IFERROR(INDEX(PriceChangeData!$C:$C,MATCH($C312&amp;G$15,PriceChangeData!$F:$F,0)),0)+G311,"")</f>
        <v/>
      </c>
      <c r="H312" s="19" t="str">
        <f>IF(AND($C312&lt;&gt;"",H$15&lt;&gt;""),IFERROR(INDEX(PriceChangeData!$C:$C,MATCH($C312&amp;H$15,PriceChangeData!$F:$F,0)),0)+H311,"")</f>
        <v/>
      </c>
    </row>
    <row r="313" spans="3:8" x14ac:dyDescent="0.25">
      <c r="C313" s="18">
        <f t="shared" si="6"/>
        <v>43498</v>
      </c>
      <c r="D313" s="10">
        <f>IF(AND($C313&lt;&gt;"",D$15&lt;&gt;""),IFERROR(INDEX(PriceChangeData!$C:$C,MATCH($C313&amp;D$15,PriceChangeData!$F:$F,0)),0)+D312,"")</f>
        <v>-0.10790361464239991</v>
      </c>
      <c r="E313" s="11" t="str">
        <f>IF(AND($C313&lt;&gt;"",E$15&lt;&gt;""),IFERROR(INDEX(PriceChangeData!$C:$C,MATCH($C313&amp;E$15,PriceChangeData!$F:$F,0)),0)+E312,"")</f>
        <v/>
      </c>
      <c r="F313" s="11" t="str">
        <f>IF(AND($C313&lt;&gt;"",F$15&lt;&gt;""),IFERROR(INDEX(PriceChangeData!$C:$C,MATCH($C313&amp;F$15,PriceChangeData!$F:$F,0)),0)+F312,"")</f>
        <v/>
      </c>
      <c r="G313" s="11" t="str">
        <f>IF(AND($C313&lt;&gt;"",G$15&lt;&gt;""),IFERROR(INDEX(PriceChangeData!$C:$C,MATCH($C313&amp;G$15,PriceChangeData!$F:$F,0)),0)+G312,"")</f>
        <v/>
      </c>
      <c r="H313" s="19" t="str">
        <f>IF(AND($C313&lt;&gt;"",H$15&lt;&gt;""),IFERROR(INDEX(PriceChangeData!$C:$C,MATCH($C313&amp;H$15,PriceChangeData!$F:$F,0)),0)+H312,"")</f>
        <v/>
      </c>
    </row>
    <row r="314" spans="3:8" x14ac:dyDescent="0.25">
      <c r="C314" s="18">
        <f t="shared" si="6"/>
        <v>43499</v>
      </c>
      <c r="D314" s="10">
        <f>IF(AND($C314&lt;&gt;"",D$15&lt;&gt;""),IFERROR(INDEX(PriceChangeData!$C:$C,MATCH($C314&amp;D$15,PriceChangeData!$F:$F,0)),0)+D313,"")</f>
        <v>-0.10790361464239991</v>
      </c>
      <c r="E314" s="11" t="str">
        <f>IF(AND($C314&lt;&gt;"",E$15&lt;&gt;""),IFERROR(INDEX(PriceChangeData!$C:$C,MATCH($C314&amp;E$15,PriceChangeData!$F:$F,0)),0)+E313,"")</f>
        <v/>
      </c>
      <c r="F314" s="11" t="str">
        <f>IF(AND($C314&lt;&gt;"",F$15&lt;&gt;""),IFERROR(INDEX(PriceChangeData!$C:$C,MATCH($C314&amp;F$15,PriceChangeData!$F:$F,0)),0)+F313,"")</f>
        <v/>
      </c>
      <c r="G314" s="11" t="str">
        <f>IF(AND($C314&lt;&gt;"",G$15&lt;&gt;""),IFERROR(INDEX(PriceChangeData!$C:$C,MATCH($C314&amp;G$15,PriceChangeData!$F:$F,0)),0)+G313,"")</f>
        <v/>
      </c>
      <c r="H314" s="19" t="str">
        <f>IF(AND($C314&lt;&gt;"",H$15&lt;&gt;""),IFERROR(INDEX(PriceChangeData!$C:$C,MATCH($C314&amp;H$15,PriceChangeData!$F:$F,0)),0)+H313,"")</f>
        <v/>
      </c>
    </row>
    <row r="315" spans="3:8" x14ac:dyDescent="0.25">
      <c r="C315" s="18">
        <f t="shared" si="6"/>
        <v>43500</v>
      </c>
      <c r="D315" s="10">
        <f>IF(AND($C315&lt;&gt;"",D$15&lt;&gt;""),IFERROR(INDEX(PriceChangeData!$C:$C,MATCH($C315&amp;D$15,PriceChangeData!$F:$F,0)),0)+D314,"")</f>
        <v>-0.13268008168013429</v>
      </c>
      <c r="E315" s="11" t="str">
        <f>IF(AND($C315&lt;&gt;"",E$15&lt;&gt;""),IFERROR(INDEX(PriceChangeData!$C:$C,MATCH($C315&amp;E$15,PriceChangeData!$F:$F,0)),0)+E314,"")</f>
        <v/>
      </c>
      <c r="F315" s="11" t="str">
        <f>IF(AND($C315&lt;&gt;"",F$15&lt;&gt;""),IFERROR(INDEX(PriceChangeData!$C:$C,MATCH($C315&amp;F$15,PriceChangeData!$F:$F,0)),0)+F314,"")</f>
        <v/>
      </c>
      <c r="G315" s="11" t="str">
        <f>IF(AND($C315&lt;&gt;"",G$15&lt;&gt;""),IFERROR(INDEX(PriceChangeData!$C:$C,MATCH($C315&amp;G$15,PriceChangeData!$F:$F,0)),0)+G314,"")</f>
        <v/>
      </c>
      <c r="H315" s="19" t="str">
        <f>IF(AND($C315&lt;&gt;"",H$15&lt;&gt;""),IFERROR(INDEX(PriceChangeData!$C:$C,MATCH($C315&amp;H$15,PriceChangeData!$F:$F,0)),0)+H314,"")</f>
        <v/>
      </c>
    </row>
    <row r="316" spans="3:8" x14ac:dyDescent="0.25">
      <c r="C316" s="18">
        <f t="shared" si="6"/>
        <v>43501</v>
      </c>
      <c r="D316" s="10">
        <f>IF(AND($C316&lt;&gt;"",D$15&lt;&gt;""),IFERROR(INDEX(PriceChangeData!$C:$C,MATCH($C316&amp;D$15,PriceChangeData!$F:$F,0)),0)+D315,"")</f>
        <v>-0.11801669165726081</v>
      </c>
      <c r="E316" s="11" t="str">
        <f>IF(AND($C316&lt;&gt;"",E$15&lt;&gt;""),IFERROR(INDEX(PriceChangeData!$C:$C,MATCH($C316&amp;E$15,PriceChangeData!$F:$F,0)),0)+E315,"")</f>
        <v/>
      </c>
      <c r="F316" s="11" t="str">
        <f>IF(AND($C316&lt;&gt;"",F$15&lt;&gt;""),IFERROR(INDEX(PriceChangeData!$C:$C,MATCH($C316&amp;F$15,PriceChangeData!$F:$F,0)),0)+F315,"")</f>
        <v/>
      </c>
      <c r="G316" s="11" t="str">
        <f>IF(AND($C316&lt;&gt;"",G$15&lt;&gt;""),IFERROR(INDEX(PriceChangeData!$C:$C,MATCH($C316&amp;G$15,PriceChangeData!$F:$F,0)),0)+G315,"")</f>
        <v/>
      </c>
      <c r="H316" s="19" t="str">
        <f>IF(AND($C316&lt;&gt;"",H$15&lt;&gt;""),IFERROR(INDEX(PriceChangeData!$C:$C,MATCH($C316&amp;H$15,PriceChangeData!$F:$F,0)),0)+H315,"")</f>
        <v/>
      </c>
    </row>
    <row r="317" spans="3:8" x14ac:dyDescent="0.25">
      <c r="C317" s="18">
        <f t="shared" si="6"/>
        <v>43502</v>
      </c>
      <c r="D317" s="10">
        <f>IF(AND($C317&lt;&gt;"",D$15&lt;&gt;""),IFERROR(INDEX(PriceChangeData!$C:$C,MATCH($C317&amp;D$15,PriceChangeData!$F:$F,0)),0)+D316,"")</f>
        <v>-0.12570080076450144</v>
      </c>
      <c r="E317" s="11" t="str">
        <f>IF(AND($C317&lt;&gt;"",E$15&lt;&gt;""),IFERROR(INDEX(PriceChangeData!$C:$C,MATCH($C317&amp;E$15,PriceChangeData!$F:$F,0)),0)+E316,"")</f>
        <v/>
      </c>
      <c r="F317" s="11" t="str">
        <f>IF(AND($C317&lt;&gt;"",F$15&lt;&gt;""),IFERROR(INDEX(PriceChangeData!$C:$C,MATCH($C317&amp;F$15,PriceChangeData!$F:$F,0)),0)+F316,"")</f>
        <v/>
      </c>
      <c r="G317" s="11" t="str">
        <f>IF(AND($C317&lt;&gt;"",G$15&lt;&gt;""),IFERROR(INDEX(PriceChangeData!$C:$C,MATCH($C317&amp;G$15,PriceChangeData!$F:$F,0)),0)+G316,"")</f>
        <v/>
      </c>
      <c r="H317" s="19" t="str">
        <f>IF(AND($C317&lt;&gt;"",H$15&lt;&gt;""),IFERROR(INDEX(PriceChangeData!$C:$C,MATCH($C317&amp;H$15,PriceChangeData!$F:$F,0)),0)+H316,"")</f>
        <v/>
      </c>
    </row>
    <row r="318" spans="3:8" x14ac:dyDescent="0.25">
      <c r="C318" s="18">
        <f t="shared" si="6"/>
        <v>43503</v>
      </c>
      <c r="D318" s="10">
        <f>IF(AND($C318&lt;&gt;"",D$15&lt;&gt;""),IFERROR(INDEX(PriceChangeData!$C:$C,MATCH($C318&amp;D$15,PriceChangeData!$F:$F,0)),0)+D317,"")</f>
        <v>-0.12456335988357516</v>
      </c>
      <c r="E318" s="11" t="str">
        <f>IF(AND($C318&lt;&gt;"",E$15&lt;&gt;""),IFERROR(INDEX(PriceChangeData!$C:$C,MATCH($C318&amp;E$15,PriceChangeData!$F:$F,0)),0)+E317,"")</f>
        <v/>
      </c>
      <c r="F318" s="11" t="str">
        <f>IF(AND($C318&lt;&gt;"",F$15&lt;&gt;""),IFERROR(INDEX(PriceChangeData!$C:$C,MATCH($C318&amp;F$15,PriceChangeData!$F:$F,0)),0)+F317,"")</f>
        <v/>
      </c>
      <c r="G318" s="11" t="str">
        <f>IF(AND($C318&lt;&gt;"",G$15&lt;&gt;""),IFERROR(INDEX(PriceChangeData!$C:$C,MATCH($C318&amp;G$15,PriceChangeData!$F:$F,0)),0)+G317,"")</f>
        <v/>
      </c>
      <c r="H318" s="19" t="str">
        <f>IF(AND($C318&lt;&gt;"",H$15&lt;&gt;""),IFERROR(INDEX(PriceChangeData!$C:$C,MATCH($C318&amp;H$15,PriceChangeData!$F:$F,0)),0)+H317,"")</f>
        <v/>
      </c>
    </row>
    <row r="319" spans="3:8" x14ac:dyDescent="0.25">
      <c r="C319" s="18">
        <f t="shared" si="6"/>
        <v>43504</v>
      </c>
      <c r="D319" s="10">
        <f>IF(AND($C319&lt;&gt;"",D$15&lt;&gt;""),IFERROR(INDEX(PriceChangeData!$C:$C,MATCH($C319&amp;D$15,PriceChangeData!$F:$F,0)),0)+D318,"")</f>
        <v>-0.11826769567464294</v>
      </c>
      <c r="E319" s="11" t="str">
        <f>IF(AND($C319&lt;&gt;"",E$15&lt;&gt;""),IFERROR(INDEX(PriceChangeData!$C:$C,MATCH($C319&amp;E$15,PriceChangeData!$F:$F,0)),0)+E318,"")</f>
        <v/>
      </c>
      <c r="F319" s="11" t="str">
        <f>IF(AND($C319&lt;&gt;"",F$15&lt;&gt;""),IFERROR(INDEX(PriceChangeData!$C:$C,MATCH($C319&amp;F$15,PriceChangeData!$F:$F,0)),0)+F318,"")</f>
        <v/>
      </c>
      <c r="G319" s="11" t="str">
        <f>IF(AND($C319&lt;&gt;"",G$15&lt;&gt;""),IFERROR(INDEX(PriceChangeData!$C:$C,MATCH($C319&amp;G$15,PriceChangeData!$F:$F,0)),0)+G318,"")</f>
        <v/>
      </c>
      <c r="H319" s="19" t="str">
        <f>IF(AND($C319&lt;&gt;"",H$15&lt;&gt;""),IFERROR(INDEX(PriceChangeData!$C:$C,MATCH($C319&amp;H$15,PriceChangeData!$F:$F,0)),0)+H318,"")</f>
        <v/>
      </c>
    </row>
    <row r="320" spans="3:8" x14ac:dyDescent="0.25">
      <c r="C320" s="18">
        <f t="shared" si="6"/>
        <v>43505</v>
      </c>
      <c r="D320" s="10">
        <f>IF(AND($C320&lt;&gt;"",D$15&lt;&gt;""),IFERROR(INDEX(PriceChangeData!$C:$C,MATCH($C320&amp;D$15,PriceChangeData!$F:$F,0)),0)+D319,"")</f>
        <v>-0.11826769567464294</v>
      </c>
      <c r="E320" s="11" t="str">
        <f>IF(AND($C320&lt;&gt;"",E$15&lt;&gt;""),IFERROR(INDEX(PriceChangeData!$C:$C,MATCH($C320&amp;E$15,PriceChangeData!$F:$F,0)),0)+E319,"")</f>
        <v/>
      </c>
      <c r="F320" s="11" t="str">
        <f>IF(AND($C320&lt;&gt;"",F$15&lt;&gt;""),IFERROR(INDEX(PriceChangeData!$C:$C,MATCH($C320&amp;F$15,PriceChangeData!$F:$F,0)),0)+F319,"")</f>
        <v/>
      </c>
      <c r="G320" s="11" t="str">
        <f>IF(AND($C320&lt;&gt;"",G$15&lt;&gt;""),IFERROR(INDEX(PriceChangeData!$C:$C,MATCH($C320&amp;G$15,PriceChangeData!$F:$F,0)),0)+G319,"")</f>
        <v/>
      </c>
      <c r="H320" s="19" t="str">
        <f>IF(AND($C320&lt;&gt;"",H$15&lt;&gt;""),IFERROR(INDEX(PriceChangeData!$C:$C,MATCH($C320&amp;H$15,PriceChangeData!$F:$F,0)),0)+H319,"")</f>
        <v/>
      </c>
    </row>
    <row r="321" spans="3:8" x14ac:dyDescent="0.25">
      <c r="C321" s="18">
        <f t="shared" si="6"/>
        <v>43506</v>
      </c>
      <c r="D321" s="10">
        <f>IF(AND($C321&lt;&gt;"",D$15&lt;&gt;""),IFERROR(INDEX(PriceChangeData!$C:$C,MATCH($C321&amp;D$15,PriceChangeData!$F:$F,0)),0)+D320,"")</f>
        <v>-0.11826769567464294</v>
      </c>
      <c r="E321" s="11" t="str">
        <f>IF(AND($C321&lt;&gt;"",E$15&lt;&gt;""),IFERROR(INDEX(PriceChangeData!$C:$C,MATCH($C321&amp;E$15,PriceChangeData!$F:$F,0)),0)+E320,"")</f>
        <v/>
      </c>
      <c r="F321" s="11" t="str">
        <f>IF(AND($C321&lt;&gt;"",F$15&lt;&gt;""),IFERROR(INDEX(PriceChangeData!$C:$C,MATCH($C321&amp;F$15,PriceChangeData!$F:$F,0)),0)+F320,"")</f>
        <v/>
      </c>
      <c r="G321" s="11" t="str">
        <f>IF(AND($C321&lt;&gt;"",G$15&lt;&gt;""),IFERROR(INDEX(PriceChangeData!$C:$C,MATCH($C321&amp;G$15,PriceChangeData!$F:$F,0)),0)+G320,"")</f>
        <v/>
      </c>
      <c r="H321" s="19" t="str">
        <f>IF(AND($C321&lt;&gt;"",H$15&lt;&gt;""),IFERROR(INDEX(PriceChangeData!$C:$C,MATCH($C321&amp;H$15,PriceChangeData!$F:$F,0)),0)+H320,"")</f>
        <v/>
      </c>
    </row>
    <row r="322" spans="3:8" x14ac:dyDescent="0.25">
      <c r="C322" s="18">
        <f t="shared" si="6"/>
        <v>43507</v>
      </c>
      <c r="D322" s="10">
        <f>IF(AND($C322&lt;&gt;"",D$15&lt;&gt;""),IFERROR(INDEX(PriceChangeData!$C:$C,MATCH($C322&amp;D$15,PriceChangeData!$F:$F,0)),0)+D321,"")</f>
        <v>-0.11701330514387946</v>
      </c>
      <c r="E322" s="11" t="str">
        <f>IF(AND($C322&lt;&gt;"",E$15&lt;&gt;""),IFERROR(INDEX(PriceChangeData!$C:$C,MATCH($C322&amp;E$15,PriceChangeData!$F:$F,0)),0)+E321,"")</f>
        <v/>
      </c>
      <c r="F322" s="11" t="str">
        <f>IF(AND($C322&lt;&gt;"",F$15&lt;&gt;""),IFERROR(INDEX(PriceChangeData!$C:$C,MATCH($C322&amp;F$15,PriceChangeData!$F:$F,0)),0)+F321,"")</f>
        <v/>
      </c>
      <c r="G322" s="11" t="str">
        <f>IF(AND($C322&lt;&gt;"",G$15&lt;&gt;""),IFERROR(INDEX(PriceChangeData!$C:$C,MATCH($C322&amp;G$15,PriceChangeData!$F:$F,0)),0)+G321,"")</f>
        <v/>
      </c>
      <c r="H322" s="19" t="str">
        <f>IF(AND($C322&lt;&gt;"",H$15&lt;&gt;""),IFERROR(INDEX(PriceChangeData!$C:$C,MATCH($C322&amp;H$15,PriceChangeData!$F:$F,0)),0)+H321,"")</f>
        <v/>
      </c>
    </row>
    <row r="323" spans="3:8" x14ac:dyDescent="0.25">
      <c r="C323" s="18">
        <f t="shared" si="6"/>
        <v>43508</v>
      </c>
      <c r="D323" s="10">
        <f>IF(AND($C323&lt;&gt;"",D$15&lt;&gt;""),IFERROR(INDEX(PriceChangeData!$C:$C,MATCH($C323&amp;D$15,PriceChangeData!$F:$F,0)),0)+D322,"")</f>
        <v>-0.11500954742898971</v>
      </c>
      <c r="E323" s="11" t="str">
        <f>IF(AND($C323&lt;&gt;"",E$15&lt;&gt;""),IFERROR(INDEX(PriceChangeData!$C:$C,MATCH($C323&amp;E$15,PriceChangeData!$F:$F,0)),0)+E322,"")</f>
        <v/>
      </c>
      <c r="F323" s="11" t="str">
        <f>IF(AND($C323&lt;&gt;"",F$15&lt;&gt;""),IFERROR(INDEX(PriceChangeData!$C:$C,MATCH($C323&amp;F$15,PriceChangeData!$F:$F,0)),0)+F322,"")</f>
        <v/>
      </c>
      <c r="G323" s="11" t="str">
        <f>IF(AND($C323&lt;&gt;"",G$15&lt;&gt;""),IFERROR(INDEX(PriceChangeData!$C:$C,MATCH($C323&amp;G$15,PriceChangeData!$F:$F,0)),0)+G322,"")</f>
        <v/>
      </c>
      <c r="H323" s="19" t="str">
        <f>IF(AND($C323&lt;&gt;"",H$15&lt;&gt;""),IFERROR(INDEX(PriceChangeData!$C:$C,MATCH($C323&amp;H$15,PriceChangeData!$F:$F,0)),0)+H322,"")</f>
        <v/>
      </c>
    </row>
    <row r="324" spans="3:8" x14ac:dyDescent="0.25">
      <c r="C324" s="18">
        <f t="shared" si="6"/>
        <v>43509</v>
      </c>
      <c r="D324" s="10">
        <f>IF(AND($C324&lt;&gt;"",D$15&lt;&gt;""),IFERROR(INDEX(PriceChangeData!$C:$C,MATCH($C324&amp;D$15,PriceChangeData!$F:$F,0)),0)+D323,"")</f>
        <v>-0.10430760357530006</v>
      </c>
      <c r="E324" s="11" t="str">
        <f>IF(AND($C324&lt;&gt;"",E$15&lt;&gt;""),IFERROR(INDEX(PriceChangeData!$C:$C,MATCH($C324&amp;E$15,PriceChangeData!$F:$F,0)),0)+E323,"")</f>
        <v/>
      </c>
      <c r="F324" s="11" t="str">
        <f>IF(AND($C324&lt;&gt;"",F$15&lt;&gt;""),IFERROR(INDEX(PriceChangeData!$C:$C,MATCH($C324&amp;F$15,PriceChangeData!$F:$F,0)),0)+F323,"")</f>
        <v/>
      </c>
      <c r="G324" s="11" t="str">
        <f>IF(AND($C324&lt;&gt;"",G$15&lt;&gt;""),IFERROR(INDEX(PriceChangeData!$C:$C,MATCH($C324&amp;G$15,PriceChangeData!$F:$F,0)),0)+G323,"")</f>
        <v/>
      </c>
      <c r="H324" s="19" t="str">
        <f>IF(AND($C324&lt;&gt;"",H$15&lt;&gt;""),IFERROR(INDEX(PriceChangeData!$C:$C,MATCH($C324&amp;H$15,PriceChangeData!$F:$F,0)),0)+H323,"")</f>
        <v/>
      </c>
    </row>
    <row r="325" spans="3:8" x14ac:dyDescent="0.25">
      <c r="C325" s="18">
        <f t="shared" si="6"/>
        <v>43510</v>
      </c>
      <c r="D325" s="10">
        <f>IF(AND($C325&lt;&gt;"",D$15&lt;&gt;""),IFERROR(INDEX(PriceChangeData!$C:$C,MATCH($C325&amp;D$15,PriceChangeData!$F:$F,0)),0)+D324,"")</f>
        <v>-0.10765519829532669</v>
      </c>
      <c r="E325" s="11" t="str">
        <f>IF(AND($C325&lt;&gt;"",E$15&lt;&gt;""),IFERROR(INDEX(PriceChangeData!$C:$C,MATCH($C325&amp;E$15,PriceChangeData!$F:$F,0)),0)+E324,"")</f>
        <v/>
      </c>
      <c r="F325" s="11" t="str">
        <f>IF(AND($C325&lt;&gt;"",F$15&lt;&gt;""),IFERROR(INDEX(PriceChangeData!$C:$C,MATCH($C325&amp;F$15,PriceChangeData!$F:$F,0)),0)+F324,"")</f>
        <v/>
      </c>
      <c r="G325" s="11" t="str">
        <f>IF(AND($C325&lt;&gt;"",G$15&lt;&gt;""),IFERROR(INDEX(PriceChangeData!$C:$C,MATCH($C325&amp;G$15,PriceChangeData!$F:$F,0)),0)+G324,"")</f>
        <v/>
      </c>
      <c r="H325" s="19" t="str">
        <f>IF(AND($C325&lt;&gt;"",H$15&lt;&gt;""),IFERROR(INDEX(PriceChangeData!$C:$C,MATCH($C325&amp;H$15,PriceChangeData!$F:$F,0)),0)+H324,"")</f>
        <v/>
      </c>
    </row>
    <row r="326" spans="3:8" x14ac:dyDescent="0.25">
      <c r="C326" s="18">
        <f t="shared" si="6"/>
        <v>43511</v>
      </c>
      <c r="D326" s="10">
        <f>IF(AND($C326&lt;&gt;"",D$15&lt;&gt;""),IFERROR(INDEX(PriceChangeData!$C:$C,MATCH($C326&amp;D$15,PriceChangeData!$F:$F,0)),0)+D325,"")</f>
        <v>-0.10356521304380162</v>
      </c>
      <c r="E326" s="11" t="str">
        <f>IF(AND($C326&lt;&gt;"",E$15&lt;&gt;""),IFERROR(INDEX(PriceChangeData!$C:$C,MATCH($C326&amp;E$15,PriceChangeData!$F:$F,0)),0)+E325,"")</f>
        <v/>
      </c>
      <c r="F326" s="11" t="str">
        <f>IF(AND($C326&lt;&gt;"",F$15&lt;&gt;""),IFERROR(INDEX(PriceChangeData!$C:$C,MATCH($C326&amp;F$15,PriceChangeData!$F:$F,0)),0)+F325,"")</f>
        <v/>
      </c>
      <c r="G326" s="11" t="str">
        <f>IF(AND($C326&lt;&gt;"",G$15&lt;&gt;""),IFERROR(INDEX(PriceChangeData!$C:$C,MATCH($C326&amp;G$15,PriceChangeData!$F:$F,0)),0)+G325,"")</f>
        <v/>
      </c>
      <c r="H326" s="19" t="str">
        <f>IF(AND($C326&lt;&gt;"",H$15&lt;&gt;""),IFERROR(INDEX(PriceChangeData!$C:$C,MATCH($C326&amp;H$15,PriceChangeData!$F:$F,0)),0)+H325,"")</f>
        <v/>
      </c>
    </row>
    <row r="327" spans="3:8" x14ac:dyDescent="0.25">
      <c r="C327" s="18">
        <f t="shared" si="6"/>
        <v>43512</v>
      </c>
      <c r="D327" s="10">
        <f>IF(AND($C327&lt;&gt;"",D$15&lt;&gt;""),IFERROR(INDEX(PriceChangeData!$C:$C,MATCH($C327&amp;D$15,PriceChangeData!$F:$F,0)),0)+D326,"")</f>
        <v>-0.10356521304380162</v>
      </c>
      <c r="E327" s="11" t="str">
        <f>IF(AND($C327&lt;&gt;"",E$15&lt;&gt;""),IFERROR(INDEX(PriceChangeData!$C:$C,MATCH($C327&amp;E$15,PriceChangeData!$F:$F,0)),0)+E326,"")</f>
        <v/>
      </c>
      <c r="F327" s="11" t="str">
        <f>IF(AND($C327&lt;&gt;"",F$15&lt;&gt;""),IFERROR(INDEX(PriceChangeData!$C:$C,MATCH($C327&amp;F$15,PriceChangeData!$F:$F,0)),0)+F326,"")</f>
        <v/>
      </c>
      <c r="G327" s="11" t="str">
        <f>IF(AND($C327&lt;&gt;"",G$15&lt;&gt;""),IFERROR(INDEX(PriceChangeData!$C:$C,MATCH($C327&amp;G$15,PriceChangeData!$F:$F,0)),0)+G326,"")</f>
        <v/>
      </c>
      <c r="H327" s="19" t="str">
        <f>IF(AND($C327&lt;&gt;"",H$15&lt;&gt;""),IFERROR(INDEX(PriceChangeData!$C:$C,MATCH($C327&amp;H$15,PriceChangeData!$F:$F,0)),0)+H326,"")</f>
        <v/>
      </c>
    </row>
    <row r="328" spans="3:8" x14ac:dyDescent="0.25">
      <c r="C328" s="18">
        <f t="shared" si="6"/>
        <v>43513</v>
      </c>
      <c r="D328" s="10">
        <f>IF(AND($C328&lt;&gt;"",D$15&lt;&gt;""),IFERROR(INDEX(PriceChangeData!$C:$C,MATCH($C328&amp;D$15,PriceChangeData!$F:$F,0)),0)+D327,"")</f>
        <v>-0.10356521304380162</v>
      </c>
      <c r="E328" s="11" t="str">
        <f>IF(AND($C328&lt;&gt;"",E$15&lt;&gt;""),IFERROR(INDEX(PriceChangeData!$C:$C,MATCH($C328&amp;E$15,PriceChangeData!$F:$F,0)),0)+E327,"")</f>
        <v/>
      </c>
      <c r="F328" s="11" t="str">
        <f>IF(AND($C328&lt;&gt;"",F$15&lt;&gt;""),IFERROR(INDEX(PriceChangeData!$C:$C,MATCH($C328&amp;F$15,PriceChangeData!$F:$F,0)),0)+F327,"")</f>
        <v/>
      </c>
      <c r="G328" s="11" t="str">
        <f>IF(AND($C328&lt;&gt;"",G$15&lt;&gt;""),IFERROR(INDEX(PriceChangeData!$C:$C,MATCH($C328&amp;G$15,PriceChangeData!$F:$F,0)),0)+G327,"")</f>
        <v/>
      </c>
      <c r="H328" s="19" t="str">
        <f>IF(AND($C328&lt;&gt;"",H$15&lt;&gt;""),IFERROR(INDEX(PriceChangeData!$C:$C,MATCH($C328&amp;H$15,PriceChangeData!$F:$F,0)),0)+H327,"")</f>
        <v/>
      </c>
    </row>
    <row r="329" spans="3:8" x14ac:dyDescent="0.25">
      <c r="C329" s="18">
        <f t="shared" si="6"/>
        <v>43514</v>
      </c>
      <c r="D329" s="10">
        <f>IF(AND($C329&lt;&gt;"",D$15&lt;&gt;""),IFERROR(INDEX(PriceChangeData!$C:$C,MATCH($C329&amp;D$15,PriceChangeData!$F:$F,0)),0)+D328,"")</f>
        <v>-0.10356521304380162</v>
      </c>
      <c r="E329" s="11" t="str">
        <f>IF(AND($C329&lt;&gt;"",E$15&lt;&gt;""),IFERROR(INDEX(PriceChangeData!$C:$C,MATCH($C329&amp;E$15,PriceChangeData!$F:$F,0)),0)+E328,"")</f>
        <v/>
      </c>
      <c r="F329" s="11" t="str">
        <f>IF(AND($C329&lt;&gt;"",F$15&lt;&gt;""),IFERROR(INDEX(PriceChangeData!$C:$C,MATCH($C329&amp;F$15,PriceChangeData!$F:$F,0)),0)+F328,"")</f>
        <v/>
      </c>
      <c r="G329" s="11" t="str">
        <f>IF(AND($C329&lt;&gt;"",G$15&lt;&gt;""),IFERROR(INDEX(PriceChangeData!$C:$C,MATCH($C329&amp;G$15,PriceChangeData!$F:$F,0)),0)+G328,"")</f>
        <v/>
      </c>
      <c r="H329" s="19" t="str">
        <f>IF(AND($C329&lt;&gt;"",H$15&lt;&gt;""),IFERROR(INDEX(PriceChangeData!$C:$C,MATCH($C329&amp;H$15,PriceChangeData!$F:$F,0)),0)+H328,"")</f>
        <v/>
      </c>
    </row>
    <row r="330" spans="3:8" x14ac:dyDescent="0.25">
      <c r="C330" s="18">
        <f t="shared" si="6"/>
        <v>43515</v>
      </c>
      <c r="D330" s="10">
        <f>IF(AND($C330&lt;&gt;"",D$15&lt;&gt;""),IFERROR(INDEX(PriceChangeData!$C:$C,MATCH($C330&amp;D$15,PriceChangeData!$F:$F,0)),0)+D329,"")</f>
        <v>-0.10765519829532667</v>
      </c>
      <c r="E330" s="11" t="str">
        <f>IF(AND($C330&lt;&gt;"",E$15&lt;&gt;""),IFERROR(INDEX(PriceChangeData!$C:$C,MATCH($C330&amp;E$15,PriceChangeData!$F:$F,0)),0)+E329,"")</f>
        <v/>
      </c>
      <c r="F330" s="11" t="str">
        <f>IF(AND($C330&lt;&gt;"",F$15&lt;&gt;""),IFERROR(INDEX(PriceChangeData!$C:$C,MATCH($C330&amp;F$15,PriceChangeData!$F:$F,0)),0)+F329,"")</f>
        <v/>
      </c>
      <c r="G330" s="11" t="str">
        <f>IF(AND($C330&lt;&gt;"",G$15&lt;&gt;""),IFERROR(INDEX(PriceChangeData!$C:$C,MATCH($C330&amp;G$15,PriceChangeData!$F:$F,0)),0)+G329,"")</f>
        <v/>
      </c>
      <c r="H330" s="19" t="str">
        <f>IF(AND($C330&lt;&gt;"",H$15&lt;&gt;""),IFERROR(INDEX(PriceChangeData!$C:$C,MATCH($C330&amp;H$15,PriceChangeData!$F:$F,0)),0)+H329,"")</f>
        <v/>
      </c>
    </row>
    <row r="331" spans="3:8" x14ac:dyDescent="0.25">
      <c r="C331" s="18">
        <f t="shared" si="6"/>
        <v>43516</v>
      </c>
      <c r="D331" s="10">
        <f>IF(AND($C331&lt;&gt;"",D$15&lt;&gt;""),IFERROR(INDEX(PriceChangeData!$C:$C,MATCH($C331&amp;D$15,PriceChangeData!$F:$F,0)),0)+D330,"")</f>
        <v>-0.11425917220618691</v>
      </c>
      <c r="E331" s="11" t="str">
        <f>IF(AND($C331&lt;&gt;"",E$15&lt;&gt;""),IFERROR(INDEX(PriceChangeData!$C:$C,MATCH($C331&amp;E$15,PriceChangeData!$F:$F,0)),0)+E330,"")</f>
        <v/>
      </c>
      <c r="F331" s="11" t="str">
        <f>IF(AND($C331&lt;&gt;"",F$15&lt;&gt;""),IFERROR(INDEX(PriceChangeData!$C:$C,MATCH($C331&amp;F$15,PriceChangeData!$F:$F,0)),0)+F330,"")</f>
        <v/>
      </c>
      <c r="G331" s="11" t="str">
        <f>IF(AND($C331&lt;&gt;"",G$15&lt;&gt;""),IFERROR(INDEX(PriceChangeData!$C:$C,MATCH($C331&amp;G$15,PriceChangeData!$F:$F,0)),0)+G330,"")</f>
        <v/>
      </c>
      <c r="H331" s="19" t="str">
        <f>IF(AND($C331&lt;&gt;"",H$15&lt;&gt;""),IFERROR(INDEX(PriceChangeData!$C:$C,MATCH($C331&amp;H$15,PriceChangeData!$F:$F,0)),0)+H330,"")</f>
        <v/>
      </c>
    </row>
    <row r="332" spans="3:8" x14ac:dyDescent="0.25">
      <c r="C332" s="18">
        <f t="shared" si="6"/>
        <v>43517</v>
      </c>
      <c r="D332" s="10">
        <f>IF(AND($C332&lt;&gt;"",D$15&lt;&gt;""),IFERROR(INDEX(PriceChangeData!$C:$C,MATCH($C332&amp;D$15,PriceChangeData!$F:$F,0)),0)+D331,"")</f>
        <v>-0.12988252136117495</v>
      </c>
      <c r="E332" s="11" t="str">
        <f>IF(AND($C332&lt;&gt;"",E$15&lt;&gt;""),IFERROR(INDEX(PriceChangeData!$C:$C,MATCH($C332&amp;E$15,PriceChangeData!$F:$F,0)),0)+E331,"")</f>
        <v/>
      </c>
      <c r="F332" s="11" t="str">
        <f>IF(AND($C332&lt;&gt;"",F$15&lt;&gt;""),IFERROR(INDEX(PriceChangeData!$C:$C,MATCH($C332&amp;F$15,PriceChangeData!$F:$F,0)),0)+F331,"")</f>
        <v/>
      </c>
      <c r="G332" s="11" t="str">
        <f>IF(AND($C332&lt;&gt;"",G$15&lt;&gt;""),IFERROR(INDEX(PriceChangeData!$C:$C,MATCH($C332&amp;G$15,PriceChangeData!$F:$F,0)),0)+G331,"")</f>
        <v/>
      </c>
      <c r="H332" s="19" t="str">
        <f>IF(AND($C332&lt;&gt;"",H$15&lt;&gt;""),IFERROR(INDEX(PriceChangeData!$C:$C,MATCH($C332&amp;H$15,PriceChangeData!$F:$F,0)),0)+H331,"")</f>
        <v/>
      </c>
    </row>
    <row r="333" spans="3:8" x14ac:dyDescent="0.25">
      <c r="C333" s="18">
        <f t="shared" si="6"/>
        <v>43518</v>
      </c>
      <c r="D333" s="10">
        <f>IF(AND($C333&lt;&gt;"",D$15&lt;&gt;""),IFERROR(INDEX(PriceChangeData!$C:$C,MATCH($C333&amp;D$15,PriceChangeData!$F:$F,0)),0)+D332,"")</f>
        <v>-0.11388419563782856</v>
      </c>
      <c r="E333" s="11" t="str">
        <f>IF(AND($C333&lt;&gt;"",E$15&lt;&gt;""),IFERROR(INDEX(PriceChangeData!$C:$C,MATCH($C333&amp;E$15,PriceChangeData!$F:$F,0)),0)+E332,"")</f>
        <v/>
      </c>
      <c r="F333" s="11" t="str">
        <f>IF(AND($C333&lt;&gt;"",F$15&lt;&gt;""),IFERROR(INDEX(PriceChangeData!$C:$C,MATCH($C333&amp;F$15,PriceChangeData!$F:$F,0)),0)+F332,"")</f>
        <v/>
      </c>
      <c r="G333" s="11" t="str">
        <f>IF(AND($C333&lt;&gt;"",G$15&lt;&gt;""),IFERROR(INDEX(PriceChangeData!$C:$C,MATCH($C333&amp;G$15,PriceChangeData!$F:$F,0)),0)+G332,"")</f>
        <v/>
      </c>
      <c r="H333" s="19" t="str">
        <f>IF(AND($C333&lt;&gt;"",H$15&lt;&gt;""),IFERROR(INDEX(PriceChangeData!$C:$C,MATCH($C333&amp;H$15,PriceChangeData!$F:$F,0)),0)+H332,"")</f>
        <v/>
      </c>
    </row>
    <row r="334" spans="3:8" x14ac:dyDescent="0.25">
      <c r="C334" s="18">
        <f t="shared" si="6"/>
        <v>43519</v>
      </c>
      <c r="D334" s="10">
        <f>IF(AND($C334&lt;&gt;"",D$15&lt;&gt;""),IFERROR(INDEX(PriceChangeData!$C:$C,MATCH($C334&amp;D$15,PriceChangeData!$F:$F,0)),0)+D333,"")</f>
        <v>-0.11388419563782856</v>
      </c>
      <c r="E334" s="11" t="str">
        <f>IF(AND($C334&lt;&gt;"",E$15&lt;&gt;""),IFERROR(INDEX(PriceChangeData!$C:$C,MATCH($C334&amp;E$15,PriceChangeData!$F:$F,0)),0)+E333,"")</f>
        <v/>
      </c>
      <c r="F334" s="11" t="str">
        <f>IF(AND($C334&lt;&gt;"",F$15&lt;&gt;""),IFERROR(INDEX(PriceChangeData!$C:$C,MATCH($C334&amp;F$15,PriceChangeData!$F:$F,0)),0)+F333,"")</f>
        <v/>
      </c>
      <c r="G334" s="11" t="str">
        <f>IF(AND($C334&lt;&gt;"",G$15&lt;&gt;""),IFERROR(INDEX(PriceChangeData!$C:$C,MATCH($C334&amp;G$15,PriceChangeData!$F:$F,0)),0)+G333,"")</f>
        <v/>
      </c>
      <c r="H334" s="19" t="str">
        <f>IF(AND($C334&lt;&gt;"",H$15&lt;&gt;""),IFERROR(INDEX(PriceChangeData!$C:$C,MATCH($C334&amp;H$15,PriceChangeData!$F:$F,0)),0)+H333,"")</f>
        <v/>
      </c>
    </row>
    <row r="335" spans="3:8" x14ac:dyDescent="0.25">
      <c r="C335" s="18">
        <f t="shared" si="6"/>
        <v>43520</v>
      </c>
      <c r="D335" s="10">
        <f>IF(AND($C335&lt;&gt;"",D$15&lt;&gt;""),IFERROR(INDEX(PriceChangeData!$C:$C,MATCH($C335&amp;D$15,PriceChangeData!$F:$F,0)),0)+D334,"")</f>
        <v>-0.11388419563782856</v>
      </c>
      <c r="E335" s="11" t="str">
        <f>IF(AND($C335&lt;&gt;"",E$15&lt;&gt;""),IFERROR(INDEX(PriceChangeData!$C:$C,MATCH($C335&amp;E$15,PriceChangeData!$F:$F,0)),0)+E334,"")</f>
        <v/>
      </c>
      <c r="F335" s="11" t="str">
        <f>IF(AND($C335&lt;&gt;"",F$15&lt;&gt;""),IFERROR(INDEX(PriceChangeData!$C:$C,MATCH($C335&amp;F$15,PriceChangeData!$F:$F,0)),0)+F334,"")</f>
        <v/>
      </c>
      <c r="G335" s="11" t="str">
        <f>IF(AND($C335&lt;&gt;"",G$15&lt;&gt;""),IFERROR(INDEX(PriceChangeData!$C:$C,MATCH($C335&amp;G$15,PriceChangeData!$F:$F,0)),0)+G334,"")</f>
        <v/>
      </c>
      <c r="H335" s="19" t="str">
        <f>IF(AND($C335&lt;&gt;"",H$15&lt;&gt;""),IFERROR(INDEX(PriceChangeData!$C:$C,MATCH($C335&amp;H$15,PriceChangeData!$F:$F,0)),0)+H334,"")</f>
        <v/>
      </c>
    </row>
    <row r="336" spans="3:8" x14ac:dyDescent="0.25">
      <c r="C336" s="18">
        <f t="shared" si="6"/>
        <v>43521</v>
      </c>
      <c r="D336" s="10">
        <f>IF(AND($C336&lt;&gt;"",D$15&lt;&gt;""),IFERROR(INDEX(PriceChangeData!$C:$C,MATCH($C336&amp;D$15,PriceChangeData!$F:$F,0)),0)+D335,"")</f>
        <v>-0.11051571887032478</v>
      </c>
      <c r="E336" s="11" t="str">
        <f>IF(AND($C336&lt;&gt;"",E$15&lt;&gt;""),IFERROR(INDEX(PriceChangeData!$C:$C,MATCH($C336&amp;E$15,PriceChangeData!$F:$F,0)),0)+E335,"")</f>
        <v/>
      </c>
      <c r="F336" s="11" t="str">
        <f>IF(AND($C336&lt;&gt;"",F$15&lt;&gt;""),IFERROR(INDEX(PriceChangeData!$C:$C,MATCH($C336&amp;F$15,PriceChangeData!$F:$F,0)),0)+F335,"")</f>
        <v/>
      </c>
      <c r="G336" s="11" t="str">
        <f>IF(AND($C336&lt;&gt;"",G$15&lt;&gt;""),IFERROR(INDEX(PriceChangeData!$C:$C,MATCH($C336&amp;G$15,PriceChangeData!$F:$F,0)),0)+G335,"")</f>
        <v/>
      </c>
      <c r="H336" s="19" t="str">
        <f>IF(AND($C336&lt;&gt;"",H$15&lt;&gt;""),IFERROR(INDEX(PriceChangeData!$C:$C,MATCH($C336&amp;H$15,PriceChangeData!$F:$F,0)),0)+H335,"")</f>
        <v/>
      </c>
    </row>
    <row r="337" spans="3:8" x14ac:dyDescent="0.25">
      <c r="C337" s="18">
        <f t="shared" si="6"/>
        <v>43522</v>
      </c>
      <c r="D337" s="10">
        <f>IF(AND($C337&lt;&gt;"",D$15&lt;&gt;""),IFERROR(INDEX(PriceChangeData!$C:$C,MATCH($C337&amp;D$15,PriceChangeData!$F:$F,0)),0)+D336,"")</f>
        <v>-0.10777939875502797</v>
      </c>
      <c r="E337" s="11" t="str">
        <f>IF(AND($C337&lt;&gt;"",E$15&lt;&gt;""),IFERROR(INDEX(PriceChangeData!$C:$C,MATCH($C337&amp;E$15,PriceChangeData!$F:$F,0)),0)+E336,"")</f>
        <v/>
      </c>
      <c r="F337" s="11" t="str">
        <f>IF(AND($C337&lt;&gt;"",F$15&lt;&gt;""),IFERROR(INDEX(PriceChangeData!$C:$C,MATCH($C337&amp;F$15,PriceChangeData!$F:$F,0)),0)+F336,"")</f>
        <v/>
      </c>
      <c r="G337" s="11" t="str">
        <f>IF(AND($C337&lt;&gt;"",G$15&lt;&gt;""),IFERROR(INDEX(PriceChangeData!$C:$C,MATCH($C337&amp;G$15,PriceChangeData!$F:$F,0)),0)+G336,"")</f>
        <v/>
      </c>
      <c r="H337" s="19" t="str">
        <f>IF(AND($C337&lt;&gt;"",H$15&lt;&gt;""),IFERROR(INDEX(PriceChangeData!$C:$C,MATCH($C337&amp;H$15,PriceChangeData!$F:$F,0)),0)+H336,"")</f>
        <v/>
      </c>
    </row>
    <row r="338" spans="3:8" x14ac:dyDescent="0.25">
      <c r="C338" s="18">
        <f t="shared" ref="C338:C397" si="7">IFERROR(IF(C337+1&gt;C$12,"",C337+1),"")</f>
        <v>43523</v>
      </c>
      <c r="D338" s="10">
        <f>IF(AND($C338&lt;&gt;"",D$15&lt;&gt;""),IFERROR(INDEX(PriceChangeData!$C:$C,MATCH($C338&amp;D$15,PriceChangeData!$F:$F,0)),0)+D337,"")</f>
        <v>-0.12153649415979782</v>
      </c>
      <c r="E338" s="11" t="str">
        <f>IF(AND($C338&lt;&gt;"",E$15&lt;&gt;""),IFERROR(INDEX(PriceChangeData!$C:$C,MATCH($C338&amp;E$15,PriceChangeData!$F:$F,0)),0)+E337,"")</f>
        <v/>
      </c>
      <c r="F338" s="11" t="str">
        <f>IF(AND($C338&lt;&gt;"",F$15&lt;&gt;""),IFERROR(INDEX(PriceChangeData!$C:$C,MATCH($C338&amp;F$15,PriceChangeData!$F:$F,0)),0)+F337,"")</f>
        <v/>
      </c>
      <c r="G338" s="11" t="str">
        <f>IF(AND($C338&lt;&gt;"",G$15&lt;&gt;""),IFERROR(INDEX(PriceChangeData!$C:$C,MATCH($C338&amp;G$15,PriceChangeData!$F:$F,0)),0)+G337,"")</f>
        <v/>
      </c>
      <c r="H338" s="19" t="str">
        <f>IF(AND($C338&lt;&gt;"",H$15&lt;&gt;""),IFERROR(INDEX(PriceChangeData!$C:$C,MATCH($C338&amp;H$15,PriceChangeData!$F:$F,0)),0)+H337,"")</f>
        <v/>
      </c>
    </row>
    <row r="339" spans="3:8" x14ac:dyDescent="0.25">
      <c r="C339" s="18">
        <f t="shared" si="7"/>
        <v>43524</v>
      </c>
      <c r="D339" s="10">
        <f>IF(AND($C339&lt;&gt;"",D$15&lt;&gt;""),IFERROR(INDEX(PriceChangeData!$C:$C,MATCH($C339&amp;D$15,PriceChangeData!$F:$F,0)),0)+D338,"")</f>
        <v>-0.12367957723656722</v>
      </c>
      <c r="E339" s="11" t="str">
        <f>IF(AND($C339&lt;&gt;"",E$15&lt;&gt;""),IFERROR(INDEX(PriceChangeData!$C:$C,MATCH($C339&amp;E$15,PriceChangeData!$F:$F,0)),0)+E338,"")</f>
        <v/>
      </c>
      <c r="F339" s="11" t="str">
        <f>IF(AND($C339&lt;&gt;"",F$15&lt;&gt;""),IFERROR(INDEX(PriceChangeData!$C:$C,MATCH($C339&amp;F$15,PriceChangeData!$F:$F,0)),0)+F338,"")</f>
        <v/>
      </c>
      <c r="G339" s="11" t="str">
        <f>IF(AND($C339&lt;&gt;"",G$15&lt;&gt;""),IFERROR(INDEX(PriceChangeData!$C:$C,MATCH($C339&amp;G$15,PriceChangeData!$F:$F,0)),0)+G338,"")</f>
        <v/>
      </c>
      <c r="H339" s="19" t="str">
        <f>IF(AND($C339&lt;&gt;"",H$15&lt;&gt;""),IFERROR(INDEX(PriceChangeData!$C:$C,MATCH($C339&amp;H$15,PriceChangeData!$F:$F,0)),0)+H338,"")</f>
        <v/>
      </c>
    </row>
    <row r="340" spans="3:8" x14ac:dyDescent="0.25">
      <c r="C340" s="18">
        <f t="shared" si="7"/>
        <v>43525</v>
      </c>
      <c r="D340" s="10">
        <f>IF(AND($C340&lt;&gt;"",D$15&lt;&gt;""),IFERROR(INDEX(PriceChangeData!$C:$C,MATCH($C340&amp;D$15,PriceChangeData!$F:$F,0)),0)+D339,"")</f>
        <v>-0.11288494499260382</v>
      </c>
      <c r="E340" s="11" t="str">
        <f>IF(AND($C340&lt;&gt;"",E$15&lt;&gt;""),IFERROR(INDEX(PriceChangeData!$C:$C,MATCH($C340&amp;E$15,PriceChangeData!$F:$F,0)),0)+E339,"")</f>
        <v/>
      </c>
      <c r="F340" s="11" t="str">
        <f>IF(AND($C340&lt;&gt;"",F$15&lt;&gt;""),IFERROR(INDEX(PriceChangeData!$C:$C,MATCH($C340&amp;F$15,PriceChangeData!$F:$F,0)),0)+F339,"")</f>
        <v/>
      </c>
      <c r="G340" s="11" t="str">
        <f>IF(AND($C340&lt;&gt;"",G$15&lt;&gt;""),IFERROR(INDEX(PriceChangeData!$C:$C,MATCH($C340&amp;G$15,PriceChangeData!$F:$F,0)),0)+G339,"")</f>
        <v/>
      </c>
      <c r="H340" s="19" t="str">
        <f>IF(AND($C340&lt;&gt;"",H$15&lt;&gt;""),IFERROR(INDEX(PriceChangeData!$C:$C,MATCH($C340&amp;H$15,PriceChangeData!$F:$F,0)),0)+H339,"")</f>
        <v/>
      </c>
    </row>
    <row r="341" spans="3:8" x14ac:dyDescent="0.25">
      <c r="C341" s="18">
        <f t="shared" si="7"/>
        <v>43526</v>
      </c>
      <c r="D341" s="10">
        <f>IF(AND($C341&lt;&gt;"",D$15&lt;&gt;""),IFERROR(INDEX(PriceChangeData!$C:$C,MATCH($C341&amp;D$15,PriceChangeData!$F:$F,0)),0)+D340,"")</f>
        <v>-0.11288494499260382</v>
      </c>
      <c r="E341" s="11" t="str">
        <f>IF(AND($C341&lt;&gt;"",E$15&lt;&gt;""),IFERROR(INDEX(PriceChangeData!$C:$C,MATCH($C341&amp;E$15,PriceChangeData!$F:$F,0)),0)+E340,"")</f>
        <v/>
      </c>
      <c r="F341" s="11" t="str">
        <f>IF(AND($C341&lt;&gt;"",F$15&lt;&gt;""),IFERROR(INDEX(PriceChangeData!$C:$C,MATCH($C341&amp;F$15,PriceChangeData!$F:$F,0)),0)+F340,"")</f>
        <v/>
      </c>
      <c r="G341" s="11" t="str">
        <f>IF(AND($C341&lt;&gt;"",G$15&lt;&gt;""),IFERROR(INDEX(PriceChangeData!$C:$C,MATCH($C341&amp;G$15,PriceChangeData!$F:$F,0)),0)+G340,"")</f>
        <v/>
      </c>
      <c r="H341" s="19" t="str">
        <f>IF(AND($C341&lt;&gt;"",H$15&lt;&gt;""),IFERROR(INDEX(PriceChangeData!$C:$C,MATCH($C341&amp;H$15,PriceChangeData!$F:$F,0)),0)+H340,"")</f>
        <v/>
      </c>
    </row>
    <row r="342" spans="3:8" x14ac:dyDescent="0.25">
      <c r="C342" s="18">
        <f t="shared" si="7"/>
        <v>43527</v>
      </c>
      <c r="D342" s="10">
        <f>IF(AND($C342&lt;&gt;"",D$15&lt;&gt;""),IFERROR(INDEX(PriceChangeData!$C:$C,MATCH($C342&amp;D$15,PriceChangeData!$F:$F,0)),0)+D341,"")</f>
        <v>-0.11288494499260382</v>
      </c>
      <c r="E342" s="11" t="str">
        <f>IF(AND($C342&lt;&gt;"",E$15&lt;&gt;""),IFERROR(INDEX(PriceChangeData!$C:$C,MATCH($C342&amp;E$15,PriceChangeData!$F:$F,0)),0)+E341,"")</f>
        <v/>
      </c>
      <c r="F342" s="11" t="str">
        <f>IF(AND($C342&lt;&gt;"",F$15&lt;&gt;""),IFERROR(INDEX(PriceChangeData!$C:$C,MATCH($C342&amp;F$15,PriceChangeData!$F:$F,0)),0)+F341,"")</f>
        <v/>
      </c>
      <c r="G342" s="11" t="str">
        <f>IF(AND($C342&lt;&gt;"",G$15&lt;&gt;""),IFERROR(INDEX(PriceChangeData!$C:$C,MATCH($C342&amp;G$15,PriceChangeData!$F:$F,0)),0)+G341,"")</f>
        <v/>
      </c>
      <c r="H342" s="19" t="str">
        <f>IF(AND($C342&lt;&gt;"",H$15&lt;&gt;""),IFERROR(INDEX(PriceChangeData!$C:$C,MATCH($C342&amp;H$15,PriceChangeData!$F:$F,0)),0)+H341,"")</f>
        <v/>
      </c>
    </row>
    <row r="343" spans="3:8" x14ac:dyDescent="0.25">
      <c r="C343" s="18">
        <f t="shared" si="7"/>
        <v>43528</v>
      </c>
      <c r="D343" s="10">
        <f>IF(AND($C343&lt;&gt;"",D$15&lt;&gt;""),IFERROR(INDEX(PriceChangeData!$C:$C,MATCH($C343&amp;D$15,PriceChangeData!$F:$F,0)),0)+D342,"")</f>
        <v>-0.12090704868046442</v>
      </c>
      <c r="E343" s="11" t="str">
        <f>IF(AND($C343&lt;&gt;"",E$15&lt;&gt;""),IFERROR(INDEX(PriceChangeData!$C:$C,MATCH($C343&amp;E$15,PriceChangeData!$F:$F,0)),0)+E342,"")</f>
        <v/>
      </c>
      <c r="F343" s="11" t="str">
        <f>IF(AND($C343&lt;&gt;"",F$15&lt;&gt;""),IFERROR(INDEX(PriceChangeData!$C:$C,MATCH($C343&amp;F$15,PriceChangeData!$F:$F,0)),0)+F342,"")</f>
        <v/>
      </c>
      <c r="G343" s="11" t="str">
        <f>IF(AND($C343&lt;&gt;"",G$15&lt;&gt;""),IFERROR(INDEX(PriceChangeData!$C:$C,MATCH($C343&amp;G$15,PriceChangeData!$F:$F,0)),0)+G342,"")</f>
        <v/>
      </c>
      <c r="H343" s="19" t="str">
        <f>IF(AND($C343&lt;&gt;"",H$15&lt;&gt;""),IFERROR(INDEX(PriceChangeData!$C:$C,MATCH($C343&amp;H$15,PriceChangeData!$F:$F,0)),0)+H342,"")</f>
        <v/>
      </c>
    </row>
    <row r="344" spans="3:8" x14ac:dyDescent="0.25">
      <c r="C344" s="18">
        <f t="shared" si="7"/>
        <v>43529</v>
      </c>
      <c r="D344" s="10">
        <f>IF(AND($C344&lt;&gt;"",D$15&lt;&gt;""),IFERROR(INDEX(PriceChangeData!$C:$C,MATCH($C344&amp;D$15,PriceChangeData!$F:$F,0)),0)+D343,"")</f>
        <v>-0.12785283653397361</v>
      </c>
      <c r="E344" s="11" t="str">
        <f>IF(AND($C344&lt;&gt;"",E$15&lt;&gt;""),IFERROR(INDEX(PriceChangeData!$C:$C,MATCH($C344&amp;E$15,PriceChangeData!$F:$F,0)),0)+E343,"")</f>
        <v/>
      </c>
      <c r="F344" s="11" t="str">
        <f>IF(AND($C344&lt;&gt;"",F$15&lt;&gt;""),IFERROR(INDEX(PriceChangeData!$C:$C,MATCH($C344&amp;F$15,PriceChangeData!$F:$F,0)),0)+F343,"")</f>
        <v/>
      </c>
      <c r="G344" s="11" t="str">
        <f>IF(AND($C344&lt;&gt;"",G$15&lt;&gt;""),IFERROR(INDEX(PriceChangeData!$C:$C,MATCH($C344&amp;G$15,PriceChangeData!$F:$F,0)),0)+G343,"")</f>
        <v/>
      </c>
      <c r="H344" s="19" t="str">
        <f>IF(AND($C344&lt;&gt;"",H$15&lt;&gt;""),IFERROR(INDEX(PriceChangeData!$C:$C,MATCH($C344&amp;H$15,PriceChangeData!$F:$F,0)),0)+H343,"")</f>
        <v/>
      </c>
    </row>
    <row r="345" spans="3:8" x14ac:dyDescent="0.25">
      <c r="C345" s="18">
        <f t="shared" si="7"/>
        <v>43530</v>
      </c>
      <c r="D345" s="10">
        <f>IF(AND($C345&lt;&gt;"",D$15&lt;&gt;""),IFERROR(INDEX(PriceChangeData!$C:$C,MATCH($C345&amp;D$15,PriceChangeData!$F:$F,0)),0)+D344,"")</f>
        <v>-0.13829879139233342</v>
      </c>
      <c r="E345" s="11" t="str">
        <f>IF(AND($C345&lt;&gt;"",E$15&lt;&gt;""),IFERROR(INDEX(PriceChangeData!$C:$C,MATCH($C345&amp;E$15,PriceChangeData!$F:$F,0)),0)+E344,"")</f>
        <v/>
      </c>
      <c r="F345" s="11" t="str">
        <f>IF(AND($C345&lt;&gt;"",F$15&lt;&gt;""),IFERROR(INDEX(PriceChangeData!$C:$C,MATCH($C345&amp;F$15,PriceChangeData!$F:$F,0)),0)+F344,"")</f>
        <v/>
      </c>
      <c r="G345" s="11" t="str">
        <f>IF(AND($C345&lt;&gt;"",G$15&lt;&gt;""),IFERROR(INDEX(PriceChangeData!$C:$C,MATCH($C345&amp;G$15,PriceChangeData!$F:$F,0)),0)+G344,"")</f>
        <v/>
      </c>
      <c r="H345" s="19" t="str">
        <f>IF(AND($C345&lt;&gt;"",H$15&lt;&gt;""),IFERROR(INDEX(PriceChangeData!$C:$C,MATCH($C345&amp;H$15,PriceChangeData!$F:$F,0)),0)+H344,"")</f>
        <v/>
      </c>
    </row>
    <row r="346" spans="3:8" x14ac:dyDescent="0.25">
      <c r="C346" s="18">
        <f t="shared" si="7"/>
        <v>43531</v>
      </c>
      <c r="D346" s="10">
        <f>IF(AND($C346&lt;&gt;"",D$15&lt;&gt;""),IFERROR(INDEX(PriceChangeData!$C:$C,MATCH($C346&amp;D$15,PriceChangeData!$F:$F,0)),0)+D345,"")</f>
        <v>-0.13637977334035531</v>
      </c>
      <c r="E346" s="11" t="str">
        <f>IF(AND($C346&lt;&gt;"",E$15&lt;&gt;""),IFERROR(INDEX(PriceChangeData!$C:$C,MATCH($C346&amp;E$15,PriceChangeData!$F:$F,0)),0)+E345,"")</f>
        <v/>
      </c>
      <c r="F346" s="11" t="str">
        <f>IF(AND($C346&lt;&gt;"",F$15&lt;&gt;""),IFERROR(INDEX(PriceChangeData!$C:$C,MATCH($C346&amp;F$15,PriceChangeData!$F:$F,0)),0)+F345,"")</f>
        <v/>
      </c>
      <c r="G346" s="11" t="str">
        <f>IF(AND($C346&lt;&gt;"",G$15&lt;&gt;""),IFERROR(INDEX(PriceChangeData!$C:$C,MATCH($C346&amp;G$15,PriceChangeData!$F:$F,0)),0)+G345,"")</f>
        <v/>
      </c>
      <c r="H346" s="19" t="str">
        <f>IF(AND($C346&lt;&gt;"",H$15&lt;&gt;""),IFERROR(INDEX(PriceChangeData!$C:$C,MATCH($C346&amp;H$15,PriceChangeData!$F:$F,0)),0)+H345,"")</f>
        <v/>
      </c>
    </row>
    <row r="347" spans="3:8" x14ac:dyDescent="0.25">
      <c r="C347" s="18">
        <f t="shared" si="7"/>
        <v>43532</v>
      </c>
      <c r="D347" s="10">
        <f>IF(AND($C347&lt;&gt;"",D$15&lt;&gt;""),IFERROR(INDEX(PriceChangeData!$C:$C,MATCH($C347&amp;D$15,PriceChangeData!$F:$F,0)),0)+D346,"")</f>
        <v>-0.14485113705509611</v>
      </c>
      <c r="E347" s="11" t="str">
        <f>IF(AND($C347&lt;&gt;"",E$15&lt;&gt;""),IFERROR(INDEX(PriceChangeData!$C:$C,MATCH($C347&amp;E$15,PriceChangeData!$F:$F,0)),0)+E346,"")</f>
        <v/>
      </c>
      <c r="F347" s="11" t="str">
        <f>IF(AND($C347&lt;&gt;"",F$15&lt;&gt;""),IFERROR(INDEX(PriceChangeData!$C:$C,MATCH($C347&amp;F$15,PriceChangeData!$F:$F,0)),0)+F346,"")</f>
        <v/>
      </c>
      <c r="G347" s="11" t="str">
        <f>IF(AND($C347&lt;&gt;"",G$15&lt;&gt;""),IFERROR(INDEX(PriceChangeData!$C:$C,MATCH($C347&amp;G$15,PriceChangeData!$F:$F,0)),0)+G346,"")</f>
        <v/>
      </c>
      <c r="H347" s="19" t="str">
        <f>IF(AND($C347&lt;&gt;"",H$15&lt;&gt;""),IFERROR(INDEX(PriceChangeData!$C:$C,MATCH($C347&amp;H$15,PriceChangeData!$F:$F,0)),0)+H346,"")</f>
        <v/>
      </c>
    </row>
    <row r="348" spans="3:8" x14ac:dyDescent="0.25">
      <c r="C348" s="18">
        <f t="shared" si="7"/>
        <v>43533</v>
      </c>
      <c r="D348" s="10">
        <f>IF(AND($C348&lt;&gt;"",D$15&lt;&gt;""),IFERROR(INDEX(PriceChangeData!$C:$C,MATCH($C348&amp;D$15,PriceChangeData!$F:$F,0)),0)+D347,"")</f>
        <v>-0.14485113705509611</v>
      </c>
      <c r="E348" s="11" t="str">
        <f>IF(AND($C348&lt;&gt;"",E$15&lt;&gt;""),IFERROR(INDEX(PriceChangeData!$C:$C,MATCH($C348&amp;E$15,PriceChangeData!$F:$F,0)),0)+E347,"")</f>
        <v/>
      </c>
      <c r="F348" s="11" t="str">
        <f>IF(AND($C348&lt;&gt;"",F$15&lt;&gt;""),IFERROR(INDEX(PriceChangeData!$C:$C,MATCH($C348&amp;F$15,PriceChangeData!$F:$F,0)),0)+F347,"")</f>
        <v/>
      </c>
      <c r="G348" s="11" t="str">
        <f>IF(AND($C348&lt;&gt;"",G$15&lt;&gt;""),IFERROR(INDEX(PriceChangeData!$C:$C,MATCH($C348&amp;G$15,PriceChangeData!$F:$F,0)),0)+G347,"")</f>
        <v/>
      </c>
      <c r="H348" s="19" t="str">
        <f>IF(AND($C348&lt;&gt;"",H$15&lt;&gt;""),IFERROR(INDEX(PriceChangeData!$C:$C,MATCH($C348&amp;H$15,PriceChangeData!$F:$F,0)),0)+H347,"")</f>
        <v/>
      </c>
    </row>
    <row r="349" spans="3:8" x14ac:dyDescent="0.25">
      <c r="C349" s="18">
        <f t="shared" si="7"/>
        <v>43534</v>
      </c>
      <c r="D349" s="10">
        <f>IF(AND($C349&lt;&gt;"",D$15&lt;&gt;""),IFERROR(INDEX(PriceChangeData!$C:$C,MATCH($C349&amp;D$15,PriceChangeData!$F:$F,0)),0)+D348,"")</f>
        <v>-0.14485113705509611</v>
      </c>
      <c r="E349" s="11" t="str">
        <f>IF(AND($C349&lt;&gt;"",E$15&lt;&gt;""),IFERROR(INDEX(PriceChangeData!$C:$C,MATCH($C349&amp;E$15,PriceChangeData!$F:$F,0)),0)+E348,"")</f>
        <v/>
      </c>
      <c r="F349" s="11" t="str">
        <f>IF(AND($C349&lt;&gt;"",F$15&lt;&gt;""),IFERROR(INDEX(PriceChangeData!$C:$C,MATCH($C349&amp;F$15,PriceChangeData!$F:$F,0)),0)+F348,"")</f>
        <v/>
      </c>
      <c r="G349" s="11" t="str">
        <f>IF(AND($C349&lt;&gt;"",G$15&lt;&gt;""),IFERROR(INDEX(PriceChangeData!$C:$C,MATCH($C349&amp;G$15,PriceChangeData!$F:$F,0)),0)+G348,"")</f>
        <v/>
      </c>
      <c r="H349" s="19" t="str">
        <f>IF(AND($C349&lt;&gt;"",H$15&lt;&gt;""),IFERROR(INDEX(PriceChangeData!$C:$C,MATCH($C349&amp;H$15,PriceChangeData!$F:$F,0)),0)+H348,"")</f>
        <v/>
      </c>
    </row>
    <row r="350" spans="3:8" x14ac:dyDescent="0.25">
      <c r="C350" s="18">
        <f t="shared" si="7"/>
        <v>43535</v>
      </c>
      <c r="D350" s="10">
        <f>IF(AND($C350&lt;&gt;"",D$15&lt;&gt;""),IFERROR(INDEX(PriceChangeData!$C:$C,MATCH($C350&amp;D$15,PriceChangeData!$F:$F,0)),0)+D349,"")</f>
        <v>-0.13842685696208021</v>
      </c>
      <c r="E350" s="11" t="str">
        <f>IF(AND($C350&lt;&gt;"",E$15&lt;&gt;""),IFERROR(INDEX(PriceChangeData!$C:$C,MATCH($C350&amp;E$15,PriceChangeData!$F:$F,0)),0)+E349,"")</f>
        <v/>
      </c>
      <c r="F350" s="11" t="str">
        <f>IF(AND($C350&lt;&gt;"",F$15&lt;&gt;""),IFERROR(INDEX(PriceChangeData!$C:$C,MATCH($C350&amp;F$15,PriceChangeData!$F:$F,0)),0)+F349,"")</f>
        <v/>
      </c>
      <c r="G350" s="11" t="str">
        <f>IF(AND($C350&lt;&gt;"",G$15&lt;&gt;""),IFERROR(INDEX(PriceChangeData!$C:$C,MATCH($C350&amp;G$15,PriceChangeData!$F:$F,0)),0)+G349,"")</f>
        <v/>
      </c>
      <c r="H350" s="19" t="str">
        <f>IF(AND($C350&lt;&gt;"",H$15&lt;&gt;""),IFERROR(INDEX(PriceChangeData!$C:$C,MATCH($C350&amp;H$15,PriceChangeData!$F:$F,0)),0)+H349,"")</f>
        <v/>
      </c>
    </row>
    <row r="351" spans="3:8" x14ac:dyDescent="0.25">
      <c r="C351" s="18">
        <f t="shared" si="7"/>
        <v>43536</v>
      </c>
      <c r="D351" s="10">
        <f>IF(AND($C351&lt;&gt;"",D$15&lt;&gt;""),IFERROR(INDEX(PriceChangeData!$C:$C,MATCH($C351&amp;D$15,PriceChangeData!$F:$F,0)),0)+D350,"")</f>
        <v>-0.13000951355132581</v>
      </c>
      <c r="E351" s="11" t="str">
        <f>IF(AND($C351&lt;&gt;"",E$15&lt;&gt;""),IFERROR(INDEX(PriceChangeData!$C:$C,MATCH($C351&amp;E$15,PriceChangeData!$F:$F,0)),0)+E350,"")</f>
        <v/>
      </c>
      <c r="F351" s="11" t="str">
        <f>IF(AND($C351&lt;&gt;"",F$15&lt;&gt;""),IFERROR(INDEX(PriceChangeData!$C:$C,MATCH($C351&amp;F$15,PriceChangeData!$F:$F,0)),0)+F350,"")</f>
        <v/>
      </c>
      <c r="G351" s="11" t="str">
        <f>IF(AND($C351&lt;&gt;"",G$15&lt;&gt;""),IFERROR(INDEX(PriceChangeData!$C:$C,MATCH($C351&amp;G$15,PriceChangeData!$F:$F,0)),0)+G350,"")</f>
        <v/>
      </c>
      <c r="H351" s="19" t="str">
        <f>IF(AND($C351&lt;&gt;"",H$15&lt;&gt;""),IFERROR(INDEX(PriceChangeData!$C:$C,MATCH($C351&amp;H$15,PriceChangeData!$F:$F,0)),0)+H350,"")</f>
        <v/>
      </c>
    </row>
    <row r="352" spans="3:8" x14ac:dyDescent="0.25">
      <c r="C352" s="18">
        <f t="shared" si="7"/>
        <v>43537</v>
      </c>
      <c r="D352" s="10">
        <f>IF(AND($C352&lt;&gt;"",D$15&lt;&gt;""),IFERROR(INDEX(PriceChangeData!$C:$C,MATCH($C352&amp;D$15,PriceChangeData!$F:$F,0)),0)+D351,"")</f>
        <v>-0.12759941534660607</v>
      </c>
      <c r="E352" s="11" t="str">
        <f>IF(AND($C352&lt;&gt;"",E$15&lt;&gt;""),IFERROR(INDEX(PriceChangeData!$C:$C,MATCH($C352&amp;E$15,PriceChangeData!$F:$F,0)),0)+E351,"")</f>
        <v/>
      </c>
      <c r="F352" s="11" t="str">
        <f>IF(AND($C352&lt;&gt;"",F$15&lt;&gt;""),IFERROR(INDEX(PriceChangeData!$C:$C,MATCH($C352&amp;F$15,PriceChangeData!$F:$F,0)),0)+F351,"")</f>
        <v/>
      </c>
      <c r="G352" s="11" t="str">
        <f>IF(AND($C352&lt;&gt;"",G$15&lt;&gt;""),IFERROR(INDEX(PriceChangeData!$C:$C,MATCH($C352&amp;G$15,PriceChangeData!$F:$F,0)),0)+G351,"")</f>
        <v/>
      </c>
      <c r="H352" s="19" t="str">
        <f>IF(AND($C352&lt;&gt;"",H$15&lt;&gt;""),IFERROR(INDEX(PriceChangeData!$C:$C,MATCH($C352&amp;H$15,PriceChangeData!$F:$F,0)),0)+H351,"")</f>
        <v/>
      </c>
    </row>
    <row r="353" spans="3:8" x14ac:dyDescent="0.25">
      <c r="C353" s="18">
        <f t="shared" si="7"/>
        <v>43538</v>
      </c>
      <c r="D353" s="10">
        <f>IF(AND($C353&lt;&gt;"",D$15&lt;&gt;""),IFERROR(INDEX(PriceChangeData!$C:$C,MATCH($C353&amp;D$15,PriceChangeData!$F:$F,0)),0)+D352,"")</f>
        <v>-0.11475935978695395</v>
      </c>
      <c r="E353" s="11" t="str">
        <f>IF(AND($C353&lt;&gt;"",E$15&lt;&gt;""),IFERROR(INDEX(PriceChangeData!$C:$C,MATCH($C353&amp;E$15,PriceChangeData!$F:$F,0)),0)+E352,"")</f>
        <v/>
      </c>
      <c r="F353" s="11" t="str">
        <f>IF(AND($C353&lt;&gt;"",F$15&lt;&gt;""),IFERROR(INDEX(PriceChangeData!$C:$C,MATCH($C353&amp;F$15,PriceChangeData!$F:$F,0)),0)+F352,"")</f>
        <v/>
      </c>
      <c r="G353" s="11" t="str">
        <f>IF(AND($C353&lt;&gt;"",G$15&lt;&gt;""),IFERROR(INDEX(PriceChangeData!$C:$C,MATCH($C353&amp;G$15,PriceChangeData!$F:$F,0)),0)+G352,"")</f>
        <v/>
      </c>
      <c r="H353" s="19" t="str">
        <f>IF(AND($C353&lt;&gt;"",H$15&lt;&gt;""),IFERROR(INDEX(PriceChangeData!$C:$C,MATCH($C353&amp;H$15,PriceChangeData!$F:$F,0)),0)+H352,"")</f>
        <v/>
      </c>
    </row>
    <row r="354" spans="3:8" x14ac:dyDescent="0.25">
      <c r="C354" s="18">
        <f t="shared" si="7"/>
        <v>43539</v>
      </c>
      <c r="D354" s="10">
        <f>IF(AND($C354&lt;&gt;"",D$15&lt;&gt;""),IFERROR(INDEX(PriceChangeData!$C:$C,MATCH($C354&amp;D$15,PriceChangeData!$F:$F,0)),0)+D353,"")</f>
        <v>-9.7522898587838719E-2</v>
      </c>
      <c r="E354" s="11" t="str">
        <f>IF(AND($C354&lt;&gt;"",E$15&lt;&gt;""),IFERROR(INDEX(PriceChangeData!$C:$C,MATCH($C354&amp;E$15,PriceChangeData!$F:$F,0)),0)+E353,"")</f>
        <v/>
      </c>
      <c r="F354" s="11" t="str">
        <f>IF(AND($C354&lt;&gt;"",F$15&lt;&gt;""),IFERROR(INDEX(PriceChangeData!$C:$C,MATCH($C354&amp;F$15,PriceChangeData!$F:$F,0)),0)+F353,"")</f>
        <v/>
      </c>
      <c r="G354" s="11" t="str">
        <f>IF(AND($C354&lt;&gt;"",G$15&lt;&gt;""),IFERROR(INDEX(PriceChangeData!$C:$C,MATCH($C354&amp;G$15,PriceChangeData!$F:$F,0)),0)+G353,"")</f>
        <v/>
      </c>
      <c r="H354" s="19" t="str">
        <f>IF(AND($C354&lt;&gt;"",H$15&lt;&gt;""),IFERROR(INDEX(PriceChangeData!$C:$C,MATCH($C354&amp;H$15,PriceChangeData!$F:$F,0)),0)+H353,"")</f>
        <v/>
      </c>
    </row>
    <row r="355" spans="3:8" x14ac:dyDescent="0.25">
      <c r="C355" s="18">
        <f t="shared" si="7"/>
        <v>43540</v>
      </c>
      <c r="D355" s="10">
        <f>IF(AND($C355&lt;&gt;"",D$15&lt;&gt;""),IFERROR(INDEX(PriceChangeData!$C:$C,MATCH($C355&amp;D$15,PriceChangeData!$F:$F,0)),0)+D354,"")</f>
        <v>-9.7522898587838719E-2</v>
      </c>
      <c r="E355" s="11" t="str">
        <f>IF(AND($C355&lt;&gt;"",E$15&lt;&gt;""),IFERROR(INDEX(PriceChangeData!$C:$C,MATCH($C355&amp;E$15,PriceChangeData!$F:$F,0)),0)+E354,"")</f>
        <v/>
      </c>
      <c r="F355" s="11" t="str">
        <f>IF(AND($C355&lt;&gt;"",F$15&lt;&gt;""),IFERROR(INDEX(PriceChangeData!$C:$C,MATCH($C355&amp;F$15,PriceChangeData!$F:$F,0)),0)+F354,"")</f>
        <v/>
      </c>
      <c r="G355" s="11" t="str">
        <f>IF(AND($C355&lt;&gt;"",G$15&lt;&gt;""),IFERROR(INDEX(PriceChangeData!$C:$C,MATCH($C355&amp;G$15,PriceChangeData!$F:$F,0)),0)+G354,"")</f>
        <v/>
      </c>
      <c r="H355" s="19" t="str">
        <f>IF(AND($C355&lt;&gt;"",H$15&lt;&gt;""),IFERROR(INDEX(PriceChangeData!$C:$C,MATCH($C355&amp;H$15,PriceChangeData!$F:$F,0)),0)+H354,"")</f>
        <v/>
      </c>
    </row>
    <row r="356" spans="3:8" x14ac:dyDescent="0.25">
      <c r="C356" s="18">
        <f t="shared" si="7"/>
        <v>43541</v>
      </c>
      <c r="D356" s="10">
        <f>IF(AND($C356&lt;&gt;"",D$15&lt;&gt;""),IFERROR(INDEX(PriceChangeData!$C:$C,MATCH($C356&amp;D$15,PriceChangeData!$F:$F,0)),0)+D355,"")</f>
        <v>-9.7522898587838719E-2</v>
      </c>
      <c r="E356" s="11" t="str">
        <f>IF(AND($C356&lt;&gt;"",E$15&lt;&gt;""),IFERROR(INDEX(PriceChangeData!$C:$C,MATCH($C356&amp;E$15,PriceChangeData!$F:$F,0)),0)+E355,"")</f>
        <v/>
      </c>
      <c r="F356" s="11" t="str">
        <f>IF(AND($C356&lt;&gt;"",F$15&lt;&gt;""),IFERROR(INDEX(PriceChangeData!$C:$C,MATCH($C356&amp;F$15,PriceChangeData!$F:$F,0)),0)+F355,"")</f>
        <v/>
      </c>
      <c r="G356" s="11" t="str">
        <f>IF(AND($C356&lt;&gt;"",G$15&lt;&gt;""),IFERROR(INDEX(PriceChangeData!$C:$C,MATCH($C356&amp;G$15,PriceChangeData!$F:$F,0)),0)+G355,"")</f>
        <v/>
      </c>
      <c r="H356" s="19" t="str">
        <f>IF(AND($C356&lt;&gt;"",H$15&lt;&gt;""),IFERROR(INDEX(PriceChangeData!$C:$C,MATCH($C356&amp;H$15,PriceChangeData!$F:$F,0)),0)+H355,"")</f>
        <v/>
      </c>
    </row>
    <row r="357" spans="3:8" x14ac:dyDescent="0.25">
      <c r="C357" s="18">
        <f t="shared" si="7"/>
        <v>43542</v>
      </c>
      <c r="D357" s="10">
        <f>IF(AND($C357&lt;&gt;"",D$15&lt;&gt;""),IFERROR(INDEX(PriceChangeData!$C:$C,MATCH($C357&amp;D$15,PriceChangeData!$F:$F,0)),0)+D356,"")</f>
        <v>-0.10604199449569925</v>
      </c>
      <c r="E357" s="11" t="str">
        <f>IF(AND($C357&lt;&gt;"",E$15&lt;&gt;""),IFERROR(INDEX(PriceChangeData!$C:$C,MATCH($C357&amp;E$15,PriceChangeData!$F:$F,0)),0)+E356,"")</f>
        <v/>
      </c>
      <c r="F357" s="11" t="str">
        <f>IF(AND($C357&lt;&gt;"",F$15&lt;&gt;""),IFERROR(INDEX(PriceChangeData!$C:$C,MATCH($C357&amp;F$15,PriceChangeData!$F:$F,0)),0)+F356,"")</f>
        <v/>
      </c>
      <c r="G357" s="11" t="str">
        <f>IF(AND($C357&lt;&gt;"",G$15&lt;&gt;""),IFERROR(INDEX(PriceChangeData!$C:$C,MATCH($C357&amp;G$15,PriceChangeData!$F:$F,0)),0)+G356,"")</f>
        <v/>
      </c>
      <c r="H357" s="19" t="str">
        <f>IF(AND($C357&lt;&gt;"",H$15&lt;&gt;""),IFERROR(INDEX(PriceChangeData!$C:$C,MATCH($C357&amp;H$15,PriceChangeData!$F:$F,0)),0)+H356,"")</f>
        <v/>
      </c>
    </row>
    <row r="358" spans="3:8" x14ac:dyDescent="0.25">
      <c r="C358" s="18">
        <f t="shared" si="7"/>
        <v>43543</v>
      </c>
      <c r="D358" s="10">
        <f>IF(AND($C358&lt;&gt;"",D$15&lt;&gt;""),IFERROR(INDEX(PriceChangeData!$C:$C,MATCH($C358&amp;D$15,PriceChangeData!$F:$F,0)),0)+D357,"")</f>
        <v>-0.10393633941658972</v>
      </c>
      <c r="E358" s="11" t="str">
        <f>IF(AND($C358&lt;&gt;"",E$15&lt;&gt;""),IFERROR(INDEX(PriceChangeData!$C:$C,MATCH($C358&amp;E$15,PriceChangeData!$F:$F,0)),0)+E357,"")</f>
        <v/>
      </c>
      <c r="F358" s="11" t="str">
        <f>IF(AND($C358&lt;&gt;"",F$15&lt;&gt;""),IFERROR(INDEX(PriceChangeData!$C:$C,MATCH($C358&amp;F$15,PriceChangeData!$F:$F,0)),0)+F357,"")</f>
        <v/>
      </c>
      <c r="G358" s="11" t="str">
        <f>IF(AND($C358&lt;&gt;"",G$15&lt;&gt;""),IFERROR(INDEX(PriceChangeData!$C:$C,MATCH($C358&amp;G$15,PriceChangeData!$F:$F,0)),0)+G357,"")</f>
        <v/>
      </c>
      <c r="H358" s="19" t="str">
        <f>IF(AND($C358&lt;&gt;"",H$15&lt;&gt;""),IFERROR(INDEX(PriceChangeData!$C:$C,MATCH($C358&amp;H$15,PriceChangeData!$F:$F,0)),0)+H357,"")</f>
        <v/>
      </c>
    </row>
    <row r="359" spans="3:8" x14ac:dyDescent="0.25">
      <c r="C359" s="18">
        <f t="shared" si="7"/>
        <v>43544</v>
      </c>
      <c r="D359" s="10">
        <f>IF(AND($C359&lt;&gt;"",D$15&lt;&gt;""),IFERROR(INDEX(PriceChangeData!$C:$C,MATCH($C359&amp;D$15,PriceChangeData!$F:$F,0)),0)+D358,"")</f>
        <v>-0.1087735581509396</v>
      </c>
      <c r="E359" s="11" t="str">
        <f>IF(AND($C359&lt;&gt;"",E$15&lt;&gt;""),IFERROR(INDEX(PriceChangeData!$C:$C,MATCH($C359&amp;E$15,PriceChangeData!$F:$F,0)),0)+E358,"")</f>
        <v/>
      </c>
      <c r="F359" s="11" t="str">
        <f>IF(AND($C359&lt;&gt;"",F$15&lt;&gt;""),IFERROR(INDEX(PriceChangeData!$C:$C,MATCH($C359&amp;F$15,PriceChangeData!$F:$F,0)),0)+F358,"")</f>
        <v/>
      </c>
      <c r="G359" s="11" t="str">
        <f>IF(AND($C359&lt;&gt;"",G$15&lt;&gt;""),IFERROR(INDEX(PriceChangeData!$C:$C,MATCH($C359&amp;G$15,PriceChangeData!$F:$F,0)),0)+G358,"")</f>
        <v/>
      </c>
      <c r="H359" s="19" t="str">
        <f>IF(AND($C359&lt;&gt;"",H$15&lt;&gt;""),IFERROR(INDEX(PriceChangeData!$C:$C,MATCH($C359&amp;H$15,PriceChangeData!$F:$F,0)),0)+H358,"")</f>
        <v/>
      </c>
    </row>
    <row r="360" spans="3:8" x14ac:dyDescent="0.25">
      <c r="C360" s="18">
        <f t="shared" si="7"/>
        <v>43545</v>
      </c>
      <c r="D360" s="10">
        <f>IF(AND($C360&lt;&gt;"",D$15&lt;&gt;""),IFERROR(INDEX(PriceChangeData!$C:$C,MATCH($C360&amp;D$15,PriceChangeData!$F:$F,0)),0)+D359,"")</f>
        <v>-9.8753062354733342E-2</v>
      </c>
      <c r="E360" s="11" t="str">
        <f>IF(AND($C360&lt;&gt;"",E$15&lt;&gt;""),IFERROR(INDEX(PriceChangeData!$C:$C,MATCH($C360&amp;E$15,PriceChangeData!$F:$F,0)),0)+E359,"")</f>
        <v/>
      </c>
      <c r="F360" s="11" t="str">
        <f>IF(AND($C360&lt;&gt;"",F$15&lt;&gt;""),IFERROR(INDEX(PriceChangeData!$C:$C,MATCH($C360&amp;F$15,PriceChangeData!$F:$F,0)),0)+F359,"")</f>
        <v/>
      </c>
      <c r="G360" s="11" t="str">
        <f>IF(AND($C360&lt;&gt;"",G$15&lt;&gt;""),IFERROR(INDEX(PriceChangeData!$C:$C,MATCH($C360&amp;G$15,PriceChangeData!$F:$F,0)),0)+G359,"")</f>
        <v/>
      </c>
      <c r="H360" s="19" t="str">
        <f>IF(AND($C360&lt;&gt;"",H$15&lt;&gt;""),IFERROR(INDEX(PriceChangeData!$C:$C,MATCH($C360&amp;H$15,PriceChangeData!$F:$F,0)),0)+H359,"")</f>
        <v/>
      </c>
    </row>
    <row r="361" spans="3:8" x14ac:dyDescent="0.25">
      <c r="C361" s="18">
        <f t="shared" si="7"/>
        <v>43546</v>
      </c>
      <c r="D361" s="10">
        <f>IF(AND($C361&lt;&gt;"",D$15&lt;&gt;""),IFERROR(INDEX(PriceChangeData!$C:$C,MATCH($C361&amp;D$15,PriceChangeData!$F:$F,0)),0)+D360,"")</f>
        <v>-0.11713867341333428</v>
      </c>
      <c r="E361" s="11" t="str">
        <f>IF(AND($C361&lt;&gt;"",E$15&lt;&gt;""),IFERROR(INDEX(PriceChangeData!$C:$C,MATCH($C361&amp;E$15,PriceChangeData!$F:$F,0)),0)+E360,"")</f>
        <v/>
      </c>
      <c r="F361" s="11" t="str">
        <f>IF(AND($C361&lt;&gt;"",F$15&lt;&gt;""),IFERROR(INDEX(PriceChangeData!$C:$C,MATCH($C361&amp;F$15,PriceChangeData!$F:$F,0)),0)+F360,"")</f>
        <v/>
      </c>
      <c r="G361" s="11" t="str">
        <f>IF(AND($C361&lt;&gt;"",G$15&lt;&gt;""),IFERROR(INDEX(PriceChangeData!$C:$C,MATCH($C361&amp;G$15,PriceChangeData!$F:$F,0)),0)+G360,"")</f>
        <v/>
      </c>
      <c r="H361" s="19" t="str">
        <f>IF(AND($C361&lt;&gt;"",H$15&lt;&gt;""),IFERROR(INDEX(PriceChangeData!$C:$C,MATCH($C361&amp;H$15,PriceChangeData!$F:$F,0)),0)+H360,"")</f>
        <v/>
      </c>
    </row>
    <row r="362" spans="3:8" x14ac:dyDescent="0.25">
      <c r="C362" s="18">
        <f t="shared" si="7"/>
        <v>43547</v>
      </c>
      <c r="D362" s="10">
        <f>IF(AND($C362&lt;&gt;"",D$15&lt;&gt;""),IFERROR(INDEX(PriceChangeData!$C:$C,MATCH($C362&amp;D$15,PriceChangeData!$F:$F,0)),0)+D361,"")</f>
        <v>-0.11713867341333428</v>
      </c>
      <c r="E362" s="11" t="str">
        <f>IF(AND($C362&lt;&gt;"",E$15&lt;&gt;""),IFERROR(INDEX(PriceChangeData!$C:$C,MATCH($C362&amp;E$15,PriceChangeData!$F:$F,0)),0)+E361,"")</f>
        <v/>
      </c>
      <c r="F362" s="11" t="str">
        <f>IF(AND($C362&lt;&gt;"",F$15&lt;&gt;""),IFERROR(INDEX(PriceChangeData!$C:$C,MATCH($C362&amp;F$15,PriceChangeData!$F:$F,0)),0)+F361,"")</f>
        <v/>
      </c>
      <c r="G362" s="11" t="str">
        <f>IF(AND($C362&lt;&gt;"",G$15&lt;&gt;""),IFERROR(INDEX(PriceChangeData!$C:$C,MATCH($C362&amp;G$15,PriceChangeData!$F:$F,0)),0)+G361,"")</f>
        <v/>
      </c>
      <c r="H362" s="19" t="str">
        <f>IF(AND($C362&lt;&gt;"",H$15&lt;&gt;""),IFERROR(INDEX(PriceChangeData!$C:$C,MATCH($C362&amp;H$15,PriceChangeData!$F:$F,0)),0)+H361,"")</f>
        <v/>
      </c>
    </row>
    <row r="363" spans="3:8" x14ac:dyDescent="0.25">
      <c r="C363" s="18">
        <f t="shared" si="7"/>
        <v>43548</v>
      </c>
      <c r="D363" s="10">
        <f>IF(AND($C363&lt;&gt;"",D$15&lt;&gt;""),IFERROR(INDEX(PriceChangeData!$C:$C,MATCH($C363&amp;D$15,PriceChangeData!$F:$F,0)),0)+D362,"")</f>
        <v>-0.11713867341333428</v>
      </c>
      <c r="E363" s="11" t="str">
        <f>IF(AND($C363&lt;&gt;"",E$15&lt;&gt;""),IFERROR(INDEX(PriceChangeData!$C:$C,MATCH($C363&amp;E$15,PriceChangeData!$F:$F,0)),0)+E362,"")</f>
        <v/>
      </c>
      <c r="F363" s="11" t="str">
        <f>IF(AND($C363&lt;&gt;"",F$15&lt;&gt;""),IFERROR(INDEX(PriceChangeData!$C:$C,MATCH($C363&amp;F$15,PriceChangeData!$F:$F,0)),0)+F362,"")</f>
        <v/>
      </c>
      <c r="G363" s="11" t="str">
        <f>IF(AND($C363&lt;&gt;"",G$15&lt;&gt;""),IFERROR(INDEX(PriceChangeData!$C:$C,MATCH($C363&amp;G$15,PriceChangeData!$F:$F,0)),0)+G362,"")</f>
        <v/>
      </c>
      <c r="H363" s="19" t="str">
        <f>IF(AND($C363&lt;&gt;"",H$15&lt;&gt;""),IFERROR(INDEX(PriceChangeData!$C:$C,MATCH($C363&amp;H$15,PriceChangeData!$F:$F,0)),0)+H362,"")</f>
        <v/>
      </c>
    </row>
    <row r="364" spans="3:8" x14ac:dyDescent="0.25">
      <c r="C364" s="18">
        <f t="shared" si="7"/>
        <v>43549</v>
      </c>
      <c r="D364" s="10">
        <f>IF(AND($C364&lt;&gt;"",D$15&lt;&gt;""),IFERROR(INDEX(PriceChangeData!$C:$C,MATCH($C364&amp;D$15,PriceChangeData!$F:$F,0)),0)+D363,"")</f>
        <v>-0.12027799915352506</v>
      </c>
      <c r="E364" s="11" t="str">
        <f>IF(AND($C364&lt;&gt;"",E$15&lt;&gt;""),IFERROR(INDEX(PriceChangeData!$C:$C,MATCH($C364&amp;E$15,PriceChangeData!$F:$F,0)),0)+E363,"")</f>
        <v/>
      </c>
      <c r="F364" s="11" t="str">
        <f>IF(AND($C364&lt;&gt;"",F$15&lt;&gt;""),IFERROR(INDEX(PriceChangeData!$C:$C,MATCH($C364&amp;F$15,PriceChangeData!$F:$F,0)),0)+F363,"")</f>
        <v/>
      </c>
      <c r="G364" s="11" t="str">
        <f>IF(AND($C364&lt;&gt;"",G$15&lt;&gt;""),IFERROR(INDEX(PriceChangeData!$C:$C,MATCH($C364&amp;G$15,PriceChangeData!$F:$F,0)),0)+G363,"")</f>
        <v/>
      </c>
      <c r="H364" s="19" t="str">
        <f>IF(AND($C364&lt;&gt;"",H$15&lt;&gt;""),IFERROR(INDEX(PriceChangeData!$C:$C,MATCH($C364&amp;H$15,PriceChangeData!$F:$F,0)),0)+H363,"")</f>
        <v/>
      </c>
    </row>
    <row r="365" spans="3:8" x14ac:dyDescent="0.25">
      <c r="C365" s="18">
        <f t="shared" si="7"/>
        <v>43550</v>
      </c>
      <c r="D365" s="10">
        <f>IF(AND($C365&lt;&gt;"",D$15&lt;&gt;""),IFERROR(INDEX(PriceChangeData!$C:$C,MATCH($C365&amp;D$15,PriceChangeData!$F:$F,0)),0)+D364,"")</f>
        <v>-0.10467900562228037</v>
      </c>
      <c r="E365" s="11" t="str">
        <f>IF(AND($C365&lt;&gt;"",E$15&lt;&gt;""),IFERROR(INDEX(PriceChangeData!$C:$C,MATCH($C365&amp;E$15,PriceChangeData!$F:$F,0)),0)+E364,"")</f>
        <v/>
      </c>
      <c r="F365" s="11" t="str">
        <f>IF(AND($C365&lt;&gt;"",F$15&lt;&gt;""),IFERROR(INDEX(PriceChangeData!$C:$C,MATCH($C365&amp;F$15,PriceChangeData!$F:$F,0)),0)+F364,"")</f>
        <v/>
      </c>
      <c r="G365" s="11" t="str">
        <f>IF(AND($C365&lt;&gt;"",G$15&lt;&gt;""),IFERROR(INDEX(PriceChangeData!$C:$C,MATCH($C365&amp;G$15,PriceChangeData!$F:$F,0)),0)+G364,"")</f>
        <v/>
      </c>
      <c r="H365" s="19" t="str">
        <f>IF(AND($C365&lt;&gt;"",H$15&lt;&gt;""),IFERROR(INDEX(PriceChangeData!$C:$C,MATCH($C365&amp;H$15,PriceChangeData!$F:$F,0)),0)+H364,"")</f>
        <v/>
      </c>
    </row>
    <row r="366" spans="3:8" x14ac:dyDescent="0.25">
      <c r="C366" s="18">
        <f t="shared" si="7"/>
        <v>43551</v>
      </c>
      <c r="D366" s="10">
        <f>IF(AND($C366&lt;&gt;"",D$15&lt;&gt;""),IFERROR(INDEX(PriceChangeData!$C:$C,MATCH($C366&amp;D$15,PriceChangeData!$F:$F,0)),0)+D365,"")</f>
        <v>-0.11551011057296665</v>
      </c>
      <c r="E366" s="11" t="str">
        <f>IF(AND($C366&lt;&gt;"",E$15&lt;&gt;""),IFERROR(INDEX(PriceChangeData!$C:$C,MATCH($C366&amp;E$15,PriceChangeData!$F:$F,0)),0)+E365,"")</f>
        <v/>
      </c>
      <c r="F366" s="11" t="str">
        <f>IF(AND($C366&lt;&gt;"",F$15&lt;&gt;""),IFERROR(INDEX(PriceChangeData!$C:$C,MATCH($C366&amp;F$15,PriceChangeData!$F:$F,0)),0)+F365,"")</f>
        <v/>
      </c>
      <c r="G366" s="11" t="str">
        <f>IF(AND($C366&lt;&gt;"",G$15&lt;&gt;""),IFERROR(INDEX(PriceChangeData!$C:$C,MATCH($C366&amp;G$15,PriceChangeData!$F:$F,0)),0)+G365,"")</f>
        <v/>
      </c>
      <c r="H366" s="19" t="str">
        <f>IF(AND($C366&lt;&gt;"",H$15&lt;&gt;""),IFERROR(INDEX(PriceChangeData!$C:$C,MATCH($C366&amp;H$15,PriceChangeData!$F:$F,0)),0)+H365,"")</f>
        <v/>
      </c>
    </row>
    <row r="367" spans="3:8" x14ac:dyDescent="0.25">
      <c r="C367" s="18">
        <f t="shared" si="7"/>
        <v>43552</v>
      </c>
      <c r="D367" s="10">
        <f>IF(AND($C367&lt;&gt;"",D$15&lt;&gt;""),IFERROR(INDEX(PriceChangeData!$C:$C,MATCH($C367&amp;D$15,PriceChangeData!$F:$F,0)),0)+D366,"")</f>
        <v>-0.11463428943471786</v>
      </c>
      <c r="E367" s="11" t="str">
        <f>IF(AND($C367&lt;&gt;"",E$15&lt;&gt;""),IFERROR(INDEX(PriceChangeData!$C:$C,MATCH($C367&amp;E$15,PriceChangeData!$F:$F,0)),0)+E366,"")</f>
        <v/>
      </c>
      <c r="F367" s="11" t="str">
        <f>IF(AND($C367&lt;&gt;"",F$15&lt;&gt;""),IFERROR(INDEX(PriceChangeData!$C:$C,MATCH($C367&amp;F$15,PriceChangeData!$F:$F,0)),0)+F366,"")</f>
        <v/>
      </c>
      <c r="G367" s="11" t="str">
        <f>IF(AND($C367&lt;&gt;"",G$15&lt;&gt;""),IFERROR(INDEX(PriceChangeData!$C:$C,MATCH($C367&amp;G$15,PriceChangeData!$F:$F,0)),0)+G366,"")</f>
        <v/>
      </c>
      <c r="H367" s="19" t="str">
        <f>IF(AND($C367&lt;&gt;"",H$15&lt;&gt;""),IFERROR(INDEX(PriceChangeData!$C:$C,MATCH($C367&amp;H$15,PriceChangeData!$F:$F,0)),0)+H366,"")</f>
        <v/>
      </c>
    </row>
    <row r="368" spans="3:8" x14ac:dyDescent="0.25">
      <c r="C368" s="18">
        <f t="shared" si="7"/>
        <v>43553</v>
      </c>
      <c r="D368" s="10">
        <f>IF(AND($C368&lt;&gt;"",D$15&lt;&gt;""),IFERROR(INDEX(PriceChangeData!$C:$C,MATCH($C368&amp;D$15,PriceChangeData!$F:$F,0)),0)+D367,"")</f>
        <v>-0.10678622673049715</v>
      </c>
      <c r="E368" s="11" t="str">
        <f>IF(AND($C368&lt;&gt;"",E$15&lt;&gt;""),IFERROR(INDEX(PriceChangeData!$C:$C,MATCH($C368&amp;E$15,PriceChangeData!$F:$F,0)),0)+E367,"")</f>
        <v/>
      </c>
      <c r="F368" s="11" t="str">
        <f>IF(AND($C368&lt;&gt;"",F$15&lt;&gt;""),IFERROR(INDEX(PriceChangeData!$C:$C,MATCH($C368&amp;F$15,PriceChangeData!$F:$F,0)),0)+F367,"")</f>
        <v/>
      </c>
      <c r="G368" s="11" t="str">
        <f>IF(AND($C368&lt;&gt;"",G$15&lt;&gt;""),IFERROR(INDEX(PriceChangeData!$C:$C,MATCH($C368&amp;G$15,PriceChangeData!$F:$F,0)),0)+G367,"")</f>
        <v/>
      </c>
      <c r="H368" s="19" t="str">
        <f>IF(AND($C368&lt;&gt;"",H$15&lt;&gt;""),IFERROR(INDEX(PriceChangeData!$C:$C,MATCH($C368&amp;H$15,PriceChangeData!$F:$F,0)),0)+H367,"")</f>
        <v/>
      </c>
    </row>
    <row r="369" spans="3:8" x14ac:dyDescent="0.25">
      <c r="C369" s="18">
        <f t="shared" si="7"/>
        <v>43554</v>
      </c>
      <c r="D369" s="10">
        <f>IF(AND($C369&lt;&gt;"",D$15&lt;&gt;""),IFERROR(INDEX(PriceChangeData!$C:$C,MATCH($C369&amp;D$15,PriceChangeData!$F:$F,0)),0)+D368,"")</f>
        <v>-0.10678622673049715</v>
      </c>
      <c r="E369" s="11" t="str">
        <f>IF(AND($C369&lt;&gt;"",E$15&lt;&gt;""),IFERROR(INDEX(PriceChangeData!$C:$C,MATCH($C369&amp;E$15,PriceChangeData!$F:$F,0)),0)+E368,"")</f>
        <v/>
      </c>
      <c r="F369" s="11" t="str">
        <f>IF(AND($C369&lt;&gt;"",F$15&lt;&gt;""),IFERROR(INDEX(PriceChangeData!$C:$C,MATCH($C369&amp;F$15,PriceChangeData!$F:$F,0)),0)+F368,"")</f>
        <v/>
      </c>
      <c r="G369" s="11" t="str">
        <f>IF(AND($C369&lt;&gt;"",G$15&lt;&gt;""),IFERROR(INDEX(PriceChangeData!$C:$C,MATCH($C369&amp;G$15,PriceChangeData!$F:$F,0)),0)+G368,"")</f>
        <v/>
      </c>
      <c r="H369" s="19" t="str">
        <f>IF(AND($C369&lt;&gt;"",H$15&lt;&gt;""),IFERROR(INDEX(PriceChangeData!$C:$C,MATCH($C369&amp;H$15,PriceChangeData!$F:$F,0)),0)+H368,"")</f>
        <v/>
      </c>
    </row>
    <row r="370" spans="3:8" x14ac:dyDescent="0.25">
      <c r="C370" s="18">
        <f t="shared" si="7"/>
        <v>43555</v>
      </c>
      <c r="D370" s="10">
        <f>IF(AND($C370&lt;&gt;"",D$15&lt;&gt;""),IFERROR(INDEX(PriceChangeData!$C:$C,MATCH($C370&amp;D$15,PriceChangeData!$F:$F,0)),0)+D369,"")</f>
        <v>-0.10678622673049715</v>
      </c>
      <c r="E370" s="11" t="str">
        <f>IF(AND($C370&lt;&gt;"",E$15&lt;&gt;""),IFERROR(INDEX(PriceChangeData!$C:$C,MATCH($C370&amp;E$15,PriceChangeData!$F:$F,0)),0)+E369,"")</f>
        <v/>
      </c>
      <c r="F370" s="11" t="str">
        <f>IF(AND($C370&lt;&gt;"",F$15&lt;&gt;""),IFERROR(INDEX(PriceChangeData!$C:$C,MATCH($C370&amp;F$15,PriceChangeData!$F:$F,0)),0)+F369,"")</f>
        <v/>
      </c>
      <c r="G370" s="11" t="str">
        <f>IF(AND($C370&lt;&gt;"",G$15&lt;&gt;""),IFERROR(INDEX(PriceChangeData!$C:$C,MATCH($C370&amp;G$15,PriceChangeData!$F:$F,0)),0)+G369,"")</f>
        <v/>
      </c>
      <c r="H370" s="19" t="str">
        <f>IF(AND($C370&lt;&gt;"",H$15&lt;&gt;""),IFERROR(INDEX(PriceChangeData!$C:$C,MATCH($C370&amp;H$15,PriceChangeData!$F:$F,0)),0)+H369,"")</f>
        <v/>
      </c>
    </row>
    <row r="371" spans="3:8" x14ac:dyDescent="0.25">
      <c r="C371" s="18">
        <f t="shared" si="7"/>
        <v>43556</v>
      </c>
      <c r="D371" s="10">
        <f>IF(AND($C371&lt;&gt;"",D$15&lt;&gt;""),IFERROR(INDEX(PriceChangeData!$C:$C,MATCH($C371&amp;D$15,PriceChangeData!$F:$F,0)),0)+D370,"")</f>
        <v>-0.10443138893165022</v>
      </c>
      <c r="E371" s="11" t="str">
        <f>IF(AND($C371&lt;&gt;"",E$15&lt;&gt;""),IFERROR(INDEX(PriceChangeData!$C:$C,MATCH($C371&amp;E$15,PriceChangeData!$F:$F,0)),0)+E370,"")</f>
        <v/>
      </c>
      <c r="F371" s="11" t="str">
        <f>IF(AND($C371&lt;&gt;"",F$15&lt;&gt;""),IFERROR(INDEX(PriceChangeData!$C:$C,MATCH($C371&amp;F$15,PriceChangeData!$F:$F,0)),0)+F370,"")</f>
        <v/>
      </c>
      <c r="G371" s="11" t="str">
        <f>IF(AND($C371&lt;&gt;"",G$15&lt;&gt;""),IFERROR(INDEX(PriceChangeData!$C:$C,MATCH($C371&amp;G$15,PriceChangeData!$F:$F,0)),0)+G370,"")</f>
        <v/>
      </c>
      <c r="H371" s="19" t="str">
        <f>IF(AND($C371&lt;&gt;"",H$15&lt;&gt;""),IFERROR(INDEX(PriceChangeData!$C:$C,MATCH($C371&amp;H$15,PriceChangeData!$F:$F,0)),0)+H370,"")</f>
        <v/>
      </c>
    </row>
    <row r="372" spans="3:8" x14ac:dyDescent="0.25">
      <c r="C372" s="18">
        <f t="shared" si="7"/>
        <v>43557</v>
      </c>
      <c r="D372" s="10">
        <f>IF(AND($C372&lt;&gt;"",D$15&lt;&gt;""),IFERROR(INDEX(PriceChangeData!$C:$C,MATCH($C372&amp;D$15,PriceChangeData!$F:$F,0)),0)+D371,"")</f>
        <v>-7.6477173215937028E-2</v>
      </c>
      <c r="E372" s="11" t="str">
        <f>IF(AND($C372&lt;&gt;"",E$15&lt;&gt;""),IFERROR(INDEX(PriceChangeData!$C:$C,MATCH($C372&amp;E$15,PriceChangeData!$F:$F,0)),0)+E371,"")</f>
        <v/>
      </c>
      <c r="F372" s="11" t="str">
        <f>IF(AND($C372&lt;&gt;"",F$15&lt;&gt;""),IFERROR(INDEX(PriceChangeData!$C:$C,MATCH($C372&amp;F$15,PriceChangeData!$F:$F,0)),0)+F371,"")</f>
        <v/>
      </c>
      <c r="G372" s="11" t="str">
        <f>IF(AND($C372&lt;&gt;"",G$15&lt;&gt;""),IFERROR(INDEX(PriceChangeData!$C:$C,MATCH($C372&amp;G$15,PriceChangeData!$F:$F,0)),0)+G371,"")</f>
        <v/>
      </c>
      <c r="H372" s="19" t="str">
        <f>IF(AND($C372&lt;&gt;"",H$15&lt;&gt;""),IFERROR(INDEX(PriceChangeData!$C:$C,MATCH($C372&amp;H$15,PriceChangeData!$F:$F,0)),0)+H371,"")</f>
        <v/>
      </c>
    </row>
    <row r="373" spans="3:8" x14ac:dyDescent="0.25">
      <c r="C373" s="18">
        <f t="shared" si="7"/>
        <v>43558</v>
      </c>
      <c r="D373" s="10">
        <f>IF(AND($C373&lt;&gt;"",D$15&lt;&gt;""),IFERROR(INDEX(PriceChangeData!$C:$C,MATCH($C373&amp;D$15,PriceChangeData!$F:$F,0)),0)+D372,"")</f>
        <v>-7.6356800059005553E-2</v>
      </c>
      <c r="E373" s="11" t="str">
        <f>IF(AND($C373&lt;&gt;"",E$15&lt;&gt;""),IFERROR(INDEX(PriceChangeData!$C:$C,MATCH($C373&amp;E$15,PriceChangeData!$F:$F,0)),0)+E372,"")</f>
        <v/>
      </c>
      <c r="F373" s="11" t="str">
        <f>IF(AND($C373&lt;&gt;"",F$15&lt;&gt;""),IFERROR(INDEX(PriceChangeData!$C:$C,MATCH($C373&amp;F$15,PriceChangeData!$F:$F,0)),0)+F372,"")</f>
        <v/>
      </c>
      <c r="G373" s="11" t="str">
        <f>IF(AND($C373&lt;&gt;"",G$15&lt;&gt;""),IFERROR(INDEX(PriceChangeData!$C:$C,MATCH($C373&amp;G$15,PriceChangeData!$F:$F,0)),0)+G372,"")</f>
        <v/>
      </c>
      <c r="H373" s="19" t="str">
        <f>IF(AND($C373&lt;&gt;"",H$15&lt;&gt;""),IFERROR(INDEX(PriceChangeData!$C:$C,MATCH($C373&amp;H$15,PriceChangeData!$F:$F,0)),0)+H372,"")</f>
        <v/>
      </c>
    </row>
    <row r="374" spans="3:8" x14ac:dyDescent="0.25">
      <c r="C374" s="18">
        <f t="shared" si="7"/>
        <v>43559</v>
      </c>
      <c r="D374" s="10">
        <f>IF(AND($C374&lt;&gt;"",D$15&lt;&gt;""),IFERROR(INDEX(PriceChangeData!$C:$C,MATCH($C374&amp;D$15,PriceChangeData!$F:$F,0)),0)+D373,"")</f>
        <v>-7.9611972021308403E-2</v>
      </c>
      <c r="E374" s="11" t="str">
        <f>IF(AND($C374&lt;&gt;"",E$15&lt;&gt;""),IFERROR(INDEX(PriceChangeData!$C:$C,MATCH($C374&amp;E$15,PriceChangeData!$F:$F,0)),0)+E373,"")</f>
        <v/>
      </c>
      <c r="F374" s="11" t="str">
        <f>IF(AND($C374&lt;&gt;"",F$15&lt;&gt;""),IFERROR(INDEX(PriceChangeData!$C:$C,MATCH($C374&amp;F$15,PriceChangeData!$F:$F,0)),0)+F373,"")</f>
        <v/>
      </c>
      <c r="G374" s="11" t="str">
        <f>IF(AND($C374&lt;&gt;"",G$15&lt;&gt;""),IFERROR(INDEX(PriceChangeData!$C:$C,MATCH($C374&amp;G$15,PriceChangeData!$F:$F,0)),0)+G373,"")</f>
        <v/>
      </c>
      <c r="H374" s="19" t="str">
        <f>IF(AND($C374&lt;&gt;"",H$15&lt;&gt;""),IFERROR(INDEX(PriceChangeData!$C:$C,MATCH($C374&amp;H$15,PriceChangeData!$F:$F,0)),0)+H373,"")</f>
        <v/>
      </c>
    </row>
    <row r="375" spans="3:8" x14ac:dyDescent="0.25">
      <c r="C375" s="18">
        <f t="shared" si="7"/>
        <v>43560</v>
      </c>
      <c r="D375" s="10">
        <f>IF(AND($C375&lt;&gt;"",D$15&lt;&gt;""),IFERROR(INDEX(PriceChangeData!$C:$C,MATCH($C375&amp;D$15,PriceChangeData!$F:$F,0)),0)+D374,"")</f>
        <v>-7.1913148959072956E-2</v>
      </c>
      <c r="E375" s="11" t="str">
        <f>IF(AND($C375&lt;&gt;"",E$15&lt;&gt;""),IFERROR(INDEX(PriceChangeData!$C:$C,MATCH($C375&amp;E$15,PriceChangeData!$F:$F,0)),0)+E374,"")</f>
        <v/>
      </c>
      <c r="F375" s="11" t="str">
        <f>IF(AND($C375&lt;&gt;"",F$15&lt;&gt;""),IFERROR(INDEX(PriceChangeData!$C:$C,MATCH($C375&amp;F$15,PriceChangeData!$F:$F,0)),0)+F374,"")</f>
        <v/>
      </c>
      <c r="G375" s="11" t="str">
        <f>IF(AND($C375&lt;&gt;"",G$15&lt;&gt;""),IFERROR(INDEX(PriceChangeData!$C:$C,MATCH($C375&amp;G$15,PriceChangeData!$F:$F,0)),0)+G374,"")</f>
        <v/>
      </c>
      <c r="H375" s="19" t="str">
        <f>IF(AND($C375&lt;&gt;"",H$15&lt;&gt;""),IFERROR(INDEX(PriceChangeData!$C:$C,MATCH($C375&amp;H$15,PriceChangeData!$F:$F,0)),0)+H374,"")</f>
        <v/>
      </c>
    </row>
    <row r="376" spans="3:8" x14ac:dyDescent="0.25">
      <c r="C376" s="18">
        <f t="shared" si="7"/>
        <v>43561</v>
      </c>
      <c r="D376" s="10">
        <f>IF(AND($C376&lt;&gt;"",D$15&lt;&gt;""),IFERROR(INDEX(PriceChangeData!$C:$C,MATCH($C376&amp;D$15,PriceChangeData!$F:$F,0)),0)+D375,"")</f>
        <v>-7.1913148959072956E-2</v>
      </c>
      <c r="E376" s="11" t="str">
        <f>IF(AND($C376&lt;&gt;"",E$15&lt;&gt;""),IFERROR(INDEX(PriceChangeData!$C:$C,MATCH($C376&amp;E$15,PriceChangeData!$F:$F,0)),0)+E375,"")</f>
        <v/>
      </c>
      <c r="F376" s="11" t="str">
        <f>IF(AND($C376&lt;&gt;"",F$15&lt;&gt;""),IFERROR(INDEX(PriceChangeData!$C:$C,MATCH($C376&amp;F$15,PriceChangeData!$F:$F,0)),0)+F375,"")</f>
        <v/>
      </c>
      <c r="G376" s="11" t="str">
        <f>IF(AND($C376&lt;&gt;"",G$15&lt;&gt;""),IFERROR(INDEX(PriceChangeData!$C:$C,MATCH($C376&amp;G$15,PriceChangeData!$F:$F,0)),0)+G375,"")</f>
        <v/>
      </c>
      <c r="H376" s="19" t="str">
        <f>IF(AND($C376&lt;&gt;"",H$15&lt;&gt;""),IFERROR(INDEX(PriceChangeData!$C:$C,MATCH($C376&amp;H$15,PriceChangeData!$F:$F,0)),0)+H375,"")</f>
        <v/>
      </c>
    </row>
    <row r="377" spans="3:8" x14ac:dyDescent="0.25">
      <c r="C377" s="18">
        <f t="shared" si="7"/>
        <v>43562</v>
      </c>
      <c r="D377" s="10">
        <f>IF(AND($C377&lt;&gt;"",D$15&lt;&gt;""),IFERROR(INDEX(PriceChangeData!$C:$C,MATCH($C377&amp;D$15,PriceChangeData!$F:$F,0)),0)+D376,"")</f>
        <v>-7.1913148959072956E-2</v>
      </c>
      <c r="E377" s="11" t="str">
        <f>IF(AND($C377&lt;&gt;"",E$15&lt;&gt;""),IFERROR(INDEX(PriceChangeData!$C:$C,MATCH($C377&amp;E$15,PriceChangeData!$F:$F,0)),0)+E376,"")</f>
        <v/>
      </c>
      <c r="F377" s="11" t="str">
        <f>IF(AND($C377&lt;&gt;"",F$15&lt;&gt;""),IFERROR(INDEX(PriceChangeData!$C:$C,MATCH($C377&amp;F$15,PriceChangeData!$F:$F,0)),0)+F376,"")</f>
        <v/>
      </c>
      <c r="G377" s="11" t="str">
        <f>IF(AND($C377&lt;&gt;"",G$15&lt;&gt;""),IFERROR(INDEX(PriceChangeData!$C:$C,MATCH($C377&amp;G$15,PriceChangeData!$F:$F,0)),0)+G376,"")</f>
        <v/>
      </c>
      <c r="H377" s="19" t="str">
        <f>IF(AND($C377&lt;&gt;"",H$15&lt;&gt;""),IFERROR(INDEX(PriceChangeData!$C:$C,MATCH($C377&amp;H$15,PriceChangeData!$F:$F,0)),0)+H376,"")</f>
        <v/>
      </c>
    </row>
    <row r="378" spans="3:8" x14ac:dyDescent="0.25">
      <c r="C378" s="18">
        <f t="shared" si="7"/>
        <v>43563</v>
      </c>
      <c r="D378" s="10">
        <f>IF(AND($C378&lt;&gt;"",D$15&lt;&gt;""),IFERROR(INDEX(PriceChangeData!$C:$C,MATCH($C378&amp;D$15,PriceChangeData!$F:$F,0)),0)+D377,"")</f>
        <v>-6.5582123810869725E-2</v>
      </c>
      <c r="E378" s="11" t="str">
        <f>IF(AND($C378&lt;&gt;"",E$15&lt;&gt;""),IFERROR(INDEX(PriceChangeData!$C:$C,MATCH($C378&amp;E$15,PriceChangeData!$F:$F,0)),0)+E377,"")</f>
        <v/>
      </c>
      <c r="F378" s="11" t="str">
        <f>IF(AND($C378&lt;&gt;"",F$15&lt;&gt;""),IFERROR(INDEX(PriceChangeData!$C:$C,MATCH($C378&amp;F$15,PriceChangeData!$F:$F,0)),0)+F377,"")</f>
        <v/>
      </c>
      <c r="G378" s="11" t="str">
        <f>IF(AND($C378&lt;&gt;"",G$15&lt;&gt;""),IFERROR(INDEX(PriceChangeData!$C:$C,MATCH($C378&amp;G$15,PriceChangeData!$F:$F,0)),0)+G377,"")</f>
        <v/>
      </c>
      <c r="H378" s="19" t="str">
        <f>IF(AND($C378&lt;&gt;"",H$15&lt;&gt;""),IFERROR(INDEX(PriceChangeData!$C:$C,MATCH($C378&amp;H$15,PriceChangeData!$F:$F,0)),0)+H377,"")</f>
        <v/>
      </c>
    </row>
    <row r="379" spans="3:8" x14ac:dyDescent="0.25">
      <c r="C379" s="18">
        <f t="shared" si="7"/>
        <v>43564</v>
      </c>
      <c r="D379" s="10">
        <f>IF(AND($C379&lt;&gt;"",D$15&lt;&gt;""),IFERROR(INDEX(PriceChangeData!$C:$C,MATCH($C379&amp;D$15,PriceChangeData!$F:$F,0)),0)+D378,"")</f>
        <v>-8.1062123332841726E-2</v>
      </c>
      <c r="E379" s="11" t="str">
        <f>IF(AND($C379&lt;&gt;"",E$15&lt;&gt;""),IFERROR(INDEX(PriceChangeData!$C:$C,MATCH($C379&amp;E$15,PriceChangeData!$F:$F,0)),0)+E378,"")</f>
        <v/>
      </c>
      <c r="F379" s="11" t="str">
        <f>IF(AND($C379&lt;&gt;"",F$15&lt;&gt;""),IFERROR(INDEX(PriceChangeData!$C:$C,MATCH($C379&amp;F$15,PriceChangeData!$F:$F,0)),0)+F378,"")</f>
        <v/>
      </c>
      <c r="G379" s="11" t="str">
        <f>IF(AND($C379&lt;&gt;"",G$15&lt;&gt;""),IFERROR(INDEX(PriceChangeData!$C:$C,MATCH($C379&amp;G$15,PriceChangeData!$F:$F,0)),0)+G378,"")</f>
        <v/>
      </c>
      <c r="H379" s="19" t="str">
        <f>IF(AND($C379&lt;&gt;"",H$15&lt;&gt;""),IFERROR(INDEX(PriceChangeData!$C:$C,MATCH($C379&amp;H$15,PriceChangeData!$F:$F,0)),0)+H378,"")</f>
        <v/>
      </c>
    </row>
    <row r="380" spans="3:8" x14ac:dyDescent="0.25">
      <c r="C380" s="18" t="str">
        <f t="shared" si="7"/>
        <v/>
      </c>
      <c r="D380" s="10" t="str">
        <f>IF(AND($C380&lt;&gt;"",D$15&lt;&gt;""),IFERROR(INDEX(PriceChangeData!$C:$C,MATCH($C380&amp;D$15,PriceChangeData!$F:$F,0)),0)+D379,"")</f>
        <v/>
      </c>
      <c r="E380" s="11" t="str">
        <f>IF(AND($C380&lt;&gt;"",E$15&lt;&gt;""),IFERROR(INDEX(PriceChangeData!$C:$C,MATCH($C380&amp;E$15,PriceChangeData!$F:$F,0)),0)+E379,"")</f>
        <v/>
      </c>
      <c r="F380" s="11" t="str">
        <f>IF(AND($C380&lt;&gt;"",F$15&lt;&gt;""),IFERROR(INDEX(PriceChangeData!$C:$C,MATCH($C380&amp;F$15,PriceChangeData!$F:$F,0)),0)+F379,"")</f>
        <v/>
      </c>
      <c r="G380" s="11" t="str">
        <f>IF(AND($C380&lt;&gt;"",G$15&lt;&gt;""),IFERROR(INDEX(PriceChangeData!$C:$C,MATCH($C380&amp;G$15,PriceChangeData!$F:$F,0)),0)+G379,"")</f>
        <v/>
      </c>
      <c r="H380" s="19" t="str">
        <f>IF(AND($C380&lt;&gt;"",H$15&lt;&gt;""),IFERROR(INDEX(PriceChangeData!$C:$C,MATCH($C380&amp;H$15,PriceChangeData!$F:$F,0)),0)+H379,"")</f>
        <v/>
      </c>
    </row>
    <row r="381" spans="3:8" x14ac:dyDescent="0.25">
      <c r="C381" s="18" t="str">
        <f t="shared" si="7"/>
        <v/>
      </c>
      <c r="D381" s="10" t="str">
        <f>IF(AND($C381&lt;&gt;"",D$15&lt;&gt;""),IFERROR(INDEX(PriceChangeData!$C:$C,MATCH($C381&amp;D$15,PriceChangeData!$F:$F,0)),0)+D380,"")</f>
        <v/>
      </c>
      <c r="E381" s="11" t="str">
        <f>IF(AND($C381&lt;&gt;"",E$15&lt;&gt;""),IFERROR(INDEX(PriceChangeData!$C:$C,MATCH($C381&amp;E$15,PriceChangeData!$F:$F,0)),0)+E380,"")</f>
        <v/>
      </c>
      <c r="F381" s="11" t="str">
        <f>IF(AND($C381&lt;&gt;"",F$15&lt;&gt;""),IFERROR(INDEX(PriceChangeData!$C:$C,MATCH($C381&amp;F$15,PriceChangeData!$F:$F,0)),0)+F380,"")</f>
        <v/>
      </c>
      <c r="G381" s="11" t="str">
        <f>IF(AND($C381&lt;&gt;"",G$15&lt;&gt;""),IFERROR(INDEX(PriceChangeData!$C:$C,MATCH($C381&amp;G$15,PriceChangeData!$F:$F,0)),0)+G380,"")</f>
        <v/>
      </c>
      <c r="H381" s="19" t="str">
        <f>IF(AND($C381&lt;&gt;"",H$15&lt;&gt;""),IFERROR(INDEX(PriceChangeData!$C:$C,MATCH($C381&amp;H$15,PriceChangeData!$F:$F,0)),0)+H380,"")</f>
        <v/>
      </c>
    </row>
    <row r="382" spans="3:8" x14ac:dyDescent="0.25">
      <c r="C382" s="18" t="str">
        <f t="shared" si="7"/>
        <v/>
      </c>
      <c r="D382" s="10" t="str">
        <f>IF(AND($C382&lt;&gt;"",D$15&lt;&gt;""),IFERROR(INDEX(PriceChangeData!$C:$C,MATCH($C382&amp;D$15,PriceChangeData!$F:$F,0)),0)+D381,"")</f>
        <v/>
      </c>
      <c r="E382" s="11" t="str">
        <f>IF(AND($C382&lt;&gt;"",E$15&lt;&gt;""),IFERROR(INDEX(PriceChangeData!$C:$C,MATCH($C382&amp;E$15,PriceChangeData!$F:$F,0)),0)+E381,"")</f>
        <v/>
      </c>
      <c r="F382" s="11" t="str">
        <f>IF(AND($C382&lt;&gt;"",F$15&lt;&gt;""),IFERROR(INDEX(PriceChangeData!$C:$C,MATCH($C382&amp;F$15,PriceChangeData!$F:$F,0)),0)+F381,"")</f>
        <v/>
      </c>
      <c r="G382" s="11" t="str">
        <f>IF(AND($C382&lt;&gt;"",G$15&lt;&gt;""),IFERROR(INDEX(PriceChangeData!$C:$C,MATCH($C382&amp;G$15,PriceChangeData!$F:$F,0)),0)+G381,"")</f>
        <v/>
      </c>
      <c r="H382" s="19" t="str">
        <f>IF(AND($C382&lt;&gt;"",H$15&lt;&gt;""),IFERROR(INDEX(PriceChangeData!$C:$C,MATCH($C382&amp;H$15,PriceChangeData!$F:$F,0)),0)+H381,"")</f>
        <v/>
      </c>
    </row>
    <row r="383" spans="3:8" x14ac:dyDescent="0.25">
      <c r="C383" s="18" t="str">
        <f t="shared" si="7"/>
        <v/>
      </c>
      <c r="D383" s="10" t="str">
        <f>IF(AND($C383&lt;&gt;"",D$15&lt;&gt;""),IFERROR(INDEX(PriceChangeData!$C:$C,MATCH($C383&amp;D$15,PriceChangeData!$F:$F,0)),0)+D382,"")</f>
        <v/>
      </c>
      <c r="E383" s="11" t="str">
        <f>IF(AND($C383&lt;&gt;"",E$15&lt;&gt;""),IFERROR(INDEX(PriceChangeData!$C:$C,MATCH($C383&amp;E$15,PriceChangeData!$F:$F,0)),0)+E382,"")</f>
        <v/>
      </c>
      <c r="F383" s="11" t="str">
        <f>IF(AND($C383&lt;&gt;"",F$15&lt;&gt;""),IFERROR(INDEX(PriceChangeData!$C:$C,MATCH($C383&amp;F$15,PriceChangeData!$F:$F,0)),0)+F382,"")</f>
        <v/>
      </c>
      <c r="G383" s="11" t="str">
        <f>IF(AND($C383&lt;&gt;"",G$15&lt;&gt;""),IFERROR(INDEX(PriceChangeData!$C:$C,MATCH($C383&amp;G$15,PriceChangeData!$F:$F,0)),0)+G382,"")</f>
        <v/>
      </c>
      <c r="H383" s="19" t="str">
        <f>IF(AND($C383&lt;&gt;"",H$15&lt;&gt;""),IFERROR(INDEX(PriceChangeData!$C:$C,MATCH($C383&amp;H$15,PriceChangeData!$F:$F,0)),0)+H382,"")</f>
        <v/>
      </c>
    </row>
    <row r="384" spans="3:8" x14ac:dyDescent="0.25">
      <c r="C384" s="18" t="str">
        <f t="shared" si="7"/>
        <v/>
      </c>
      <c r="D384" s="10" t="str">
        <f>IF(AND($C384&lt;&gt;"",D$15&lt;&gt;""),IFERROR(INDEX(PriceChangeData!$C:$C,MATCH($C384&amp;D$15,PriceChangeData!$F:$F,0)),0)+D383,"")</f>
        <v/>
      </c>
      <c r="E384" s="11" t="str">
        <f>IF(AND($C384&lt;&gt;"",E$15&lt;&gt;""),IFERROR(INDEX(PriceChangeData!$C:$C,MATCH($C384&amp;E$15,PriceChangeData!$F:$F,0)),0)+E383,"")</f>
        <v/>
      </c>
      <c r="F384" s="11" t="str">
        <f>IF(AND($C384&lt;&gt;"",F$15&lt;&gt;""),IFERROR(INDEX(PriceChangeData!$C:$C,MATCH($C384&amp;F$15,PriceChangeData!$F:$F,0)),0)+F383,"")</f>
        <v/>
      </c>
      <c r="G384" s="11" t="str">
        <f>IF(AND($C384&lt;&gt;"",G$15&lt;&gt;""),IFERROR(INDEX(PriceChangeData!$C:$C,MATCH($C384&amp;G$15,PriceChangeData!$F:$F,0)),0)+G383,"")</f>
        <v/>
      </c>
      <c r="H384" s="19" t="str">
        <f>IF(AND($C384&lt;&gt;"",H$15&lt;&gt;""),IFERROR(INDEX(PriceChangeData!$C:$C,MATCH($C384&amp;H$15,PriceChangeData!$F:$F,0)),0)+H383,"")</f>
        <v/>
      </c>
    </row>
    <row r="385" spans="3:8" x14ac:dyDescent="0.25">
      <c r="C385" s="18" t="str">
        <f t="shared" si="7"/>
        <v/>
      </c>
      <c r="D385" s="10" t="str">
        <f>IF(AND($C385&lt;&gt;"",D$15&lt;&gt;""),IFERROR(INDEX(PriceChangeData!$C:$C,MATCH($C385&amp;D$15,PriceChangeData!$F:$F,0)),0)+D384,"")</f>
        <v/>
      </c>
      <c r="E385" s="11" t="str">
        <f>IF(AND($C385&lt;&gt;"",E$15&lt;&gt;""),IFERROR(INDEX(PriceChangeData!$C:$C,MATCH($C385&amp;E$15,PriceChangeData!$F:$F,0)),0)+E384,"")</f>
        <v/>
      </c>
      <c r="F385" s="11" t="str">
        <f>IF(AND($C385&lt;&gt;"",F$15&lt;&gt;""),IFERROR(INDEX(PriceChangeData!$C:$C,MATCH($C385&amp;F$15,PriceChangeData!$F:$F,0)),0)+F384,"")</f>
        <v/>
      </c>
      <c r="G385" s="11" t="str">
        <f>IF(AND($C385&lt;&gt;"",G$15&lt;&gt;""),IFERROR(INDEX(PriceChangeData!$C:$C,MATCH($C385&amp;G$15,PriceChangeData!$F:$F,0)),0)+G384,"")</f>
        <v/>
      </c>
      <c r="H385" s="19" t="str">
        <f>IF(AND($C385&lt;&gt;"",H$15&lt;&gt;""),IFERROR(INDEX(PriceChangeData!$C:$C,MATCH($C385&amp;H$15,PriceChangeData!$F:$F,0)),0)+H384,"")</f>
        <v/>
      </c>
    </row>
    <row r="386" spans="3:8" x14ac:dyDescent="0.25">
      <c r="C386" s="18" t="str">
        <f t="shared" si="7"/>
        <v/>
      </c>
      <c r="D386" s="10" t="str">
        <f>IF(AND($C386&lt;&gt;"",D$15&lt;&gt;""),IFERROR(INDEX(PriceChangeData!$C:$C,MATCH($C386&amp;D$15,PriceChangeData!$F:$F,0)),0)+D385,"")</f>
        <v/>
      </c>
      <c r="E386" s="11" t="str">
        <f>IF(AND($C386&lt;&gt;"",E$15&lt;&gt;""),IFERROR(INDEX(PriceChangeData!$C:$C,MATCH($C386&amp;E$15,PriceChangeData!$F:$F,0)),0)+E385,"")</f>
        <v/>
      </c>
      <c r="F386" s="11" t="str">
        <f>IF(AND($C386&lt;&gt;"",F$15&lt;&gt;""),IFERROR(INDEX(PriceChangeData!$C:$C,MATCH($C386&amp;F$15,PriceChangeData!$F:$F,0)),0)+F385,"")</f>
        <v/>
      </c>
      <c r="G386" s="11" t="str">
        <f>IF(AND($C386&lt;&gt;"",G$15&lt;&gt;""),IFERROR(INDEX(PriceChangeData!$C:$C,MATCH($C386&amp;G$15,PriceChangeData!$F:$F,0)),0)+G385,"")</f>
        <v/>
      </c>
      <c r="H386" s="19" t="str">
        <f>IF(AND($C386&lt;&gt;"",H$15&lt;&gt;""),IFERROR(INDEX(PriceChangeData!$C:$C,MATCH($C386&amp;H$15,PriceChangeData!$F:$F,0)),0)+H385,"")</f>
        <v/>
      </c>
    </row>
    <row r="387" spans="3:8" x14ac:dyDescent="0.25">
      <c r="C387" s="18" t="str">
        <f t="shared" si="7"/>
        <v/>
      </c>
      <c r="D387" s="10" t="str">
        <f>IF(AND($C387&lt;&gt;"",D$15&lt;&gt;""),IFERROR(INDEX(PriceChangeData!$C:$C,MATCH($C387&amp;D$15,PriceChangeData!$F:$F,0)),0)+D386,"")</f>
        <v/>
      </c>
      <c r="E387" s="11" t="str">
        <f>IF(AND($C387&lt;&gt;"",E$15&lt;&gt;""),IFERROR(INDEX(PriceChangeData!$C:$C,MATCH($C387&amp;E$15,PriceChangeData!$F:$F,0)),0)+E386,"")</f>
        <v/>
      </c>
      <c r="F387" s="11" t="str">
        <f>IF(AND($C387&lt;&gt;"",F$15&lt;&gt;""),IFERROR(INDEX(PriceChangeData!$C:$C,MATCH($C387&amp;F$15,PriceChangeData!$F:$F,0)),0)+F386,"")</f>
        <v/>
      </c>
      <c r="G387" s="11" t="str">
        <f>IF(AND($C387&lt;&gt;"",G$15&lt;&gt;""),IFERROR(INDEX(PriceChangeData!$C:$C,MATCH($C387&amp;G$15,PriceChangeData!$F:$F,0)),0)+G386,"")</f>
        <v/>
      </c>
      <c r="H387" s="19" t="str">
        <f>IF(AND($C387&lt;&gt;"",H$15&lt;&gt;""),IFERROR(INDEX(PriceChangeData!$C:$C,MATCH($C387&amp;H$15,PriceChangeData!$F:$F,0)),0)+H386,"")</f>
        <v/>
      </c>
    </row>
    <row r="388" spans="3:8" x14ac:dyDescent="0.25">
      <c r="C388" s="18" t="str">
        <f t="shared" si="7"/>
        <v/>
      </c>
      <c r="D388" s="10" t="str">
        <f>IF(AND($C388&lt;&gt;"",D$15&lt;&gt;""),IFERROR(INDEX(PriceChangeData!$C:$C,MATCH($C388&amp;D$15,PriceChangeData!$F:$F,0)),0)+D387,"")</f>
        <v/>
      </c>
      <c r="E388" s="11" t="str">
        <f>IF(AND($C388&lt;&gt;"",E$15&lt;&gt;""),IFERROR(INDEX(PriceChangeData!$C:$C,MATCH($C388&amp;E$15,PriceChangeData!$F:$F,0)),0)+E387,"")</f>
        <v/>
      </c>
      <c r="F388" s="11" t="str">
        <f>IF(AND($C388&lt;&gt;"",F$15&lt;&gt;""),IFERROR(INDEX(PriceChangeData!$C:$C,MATCH($C388&amp;F$15,PriceChangeData!$F:$F,0)),0)+F387,"")</f>
        <v/>
      </c>
      <c r="G388" s="11" t="str">
        <f>IF(AND($C388&lt;&gt;"",G$15&lt;&gt;""),IFERROR(INDEX(PriceChangeData!$C:$C,MATCH($C388&amp;G$15,PriceChangeData!$F:$F,0)),0)+G387,"")</f>
        <v/>
      </c>
      <c r="H388" s="19" t="str">
        <f>IF(AND($C388&lt;&gt;"",H$15&lt;&gt;""),IFERROR(INDEX(PriceChangeData!$C:$C,MATCH($C388&amp;H$15,PriceChangeData!$F:$F,0)),0)+H387,"")</f>
        <v/>
      </c>
    </row>
    <row r="389" spans="3:8" x14ac:dyDescent="0.25">
      <c r="C389" s="18" t="str">
        <f t="shared" si="7"/>
        <v/>
      </c>
      <c r="D389" s="10" t="str">
        <f>IF(AND($C389&lt;&gt;"",D$15&lt;&gt;""),IFERROR(INDEX(PriceChangeData!$C:$C,MATCH($C389&amp;D$15,PriceChangeData!$F:$F,0)),0)+D388,"")</f>
        <v/>
      </c>
      <c r="E389" s="11" t="str">
        <f>IF(AND($C389&lt;&gt;"",E$15&lt;&gt;""),IFERROR(INDEX(PriceChangeData!$C:$C,MATCH($C389&amp;E$15,PriceChangeData!$F:$F,0)),0)+E388,"")</f>
        <v/>
      </c>
      <c r="F389" s="11" t="str">
        <f>IF(AND($C389&lt;&gt;"",F$15&lt;&gt;""),IFERROR(INDEX(PriceChangeData!$C:$C,MATCH($C389&amp;F$15,PriceChangeData!$F:$F,0)),0)+F388,"")</f>
        <v/>
      </c>
      <c r="G389" s="11" t="str">
        <f>IF(AND($C389&lt;&gt;"",G$15&lt;&gt;""),IFERROR(INDEX(PriceChangeData!$C:$C,MATCH($C389&amp;G$15,PriceChangeData!$F:$F,0)),0)+G388,"")</f>
        <v/>
      </c>
      <c r="H389" s="19" t="str">
        <f>IF(AND($C389&lt;&gt;"",H$15&lt;&gt;""),IFERROR(INDEX(PriceChangeData!$C:$C,MATCH($C389&amp;H$15,PriceChangeData!$F:$F,0)),0)+H388,"")</f>
        <v/>
      </c>
    </row>
    <row r="390" spans="3:8" x14ac:dyDescent="0.25">
      <c r="C390" s="18" t="str">
        <f t="shared" si="7"/>
        <v/>
      </c>
      <c r="D390" s="10" t="str">
        <f>IF(AND($C390&lt;&gt;"",D$15&lt;&gt;""),IFERROR(INDEX(PriceChangeData!$C:$C,MATCH($C390&amp;D$15,PriceChangeData!$F:$F,0)),0)+D389,"")</f>
        <v/>
      </c>
      <c r="E390" s="11" t="str">
        <f>IF(AND($C390&lt;&gt;"",E$15&lt;&gt;""),IFERROR(INDEX(PriceChangeData!$C:$C,MATCH($C390&amp;E$15,PriceChangeData!$F:$F,0)),0)+E389,"")</f>
        <v/>
      </c>
      <c r="F390" s="11" t="str">
        <f>IF(AND($C390&lt;&gt;"",F$15&lt;&gt;""),IFERROR(INDEX(PriceChangeData!$C:$C,MATCH($C390&amp;F$15,PriceChangeData!$F:$F,0)),0)+F389,"")</f>
        <v/>
      </c>
      <c r="G390" s="11" t="str">
        <f>IF(AND($C390&lt;&gt;"",G$15&lt;&gt;""),IFERROR(INDEX(PriceChangeData!$C:$C,MATCH($C390&amp;G$15,PriceChangeData!$F:$F,0)),0)+G389,"")</f>
        <v/>
      </c>
      <c r="H390" s="19" t="str">
        <f>IF(AND($C390&lt;&gt;"",H$15&lt;&gt;""),IFERROR(INDEX(PriceChangeData!$C:$C,MATCH($C390&amp;H$15,PriceChangeData!$F:$F,0)),0)+H389,"")</f>
        <v/>
      </c>
    </row>
    <row r="391" spans="3:8" x14ac:dyDescent="0.25">
      <c r="C391" s="18" t="str">
        <f t="shared" si="7"/>
        <v/>
      </c>
      <c r="D391" s="10" t="str">
        <f>IF(AND($C391&lt;&gt;"",D$15&lt;&gt;""),IFERROR(INDEX(PriceChangeData!$C:$C,MATCH($C391&amp;D$15,PriceChangeData!$F:$F,0)),0)+D390,"")</f>
        <v/>
      </c>
      <c r="E391" s="11" t="str">
        <f>IF(AND($C391&lt;&gt;"",E$15&lt;&gt;""),IFERROR(INDEX(PriceChangeData!$C:$C,MATCH($C391&amp;E$15,PriceChangeData!$F:$F,0)),0)+E390,"")</f>
        <v/>
      </c>
      <c r="F391" s="11" t="str">
        <f>IF(AND($C391&lt;&gt;"",F$15&lt;&gt;""),IFERROR(INDEX(PriceChangeData!$C:$C,MATCH($C391&amp;F$15,PriceChangeData!$F:$F,0)),0)+F390,"")</f>
        <v/>
      </c>
      <c r="G391" s="11" t="str">
        <f>IF(AND($C391&lt;&gt;"",G$15&lt;&gt;""),IFERROR(INDEX(PriceChangeData!$C:$C,MATCH($C391&amp;G$15,PriceChangeData!$F:$F,0)),0)+G390,"")</f>
        <v/>
      </c>
      <c r="H391" s="19" t="str">
        <f>IF(AND($C391&lt;&gt;"",H$15&lt;&gt;""),IFERROR(INDEX(PriceChangeData!$C:$C,MATCH($C391&amp;H$15,PriceChangeData!$F:$F,0)),0)+H390,"")</f>
        <v/>
      </c>
    </row>
    <row r="392" spans="3:8" x14ac:dyDescent="0.25">
      <c r="C392" s="18" t="str">
        <f t="shared" si="7"/>
        <v/>
      </c>
      <c r="D392" s="10" t="str">
        <f>IF(AND($C392&lt;&gt;"",D$15&lt;&gt;""),IFERROR(INDEX(PriceChangeData!$C:$C,MATCH($C392&amp;D$15,PriceChangeData!$F:$F,0)),0)+D391,"")</f>
        <v/>
      </c>
      <c r="E392" s="11" t="str">
        <f>IF(AND($C392&lt;&gt;"",E$15&lt;&gt;""),IFERROR(INDEX(PriceChangeData!$C:$C,MATCH($C392&amp;E$15,PriceChangeData!$F:$F,0)),0)+E391,"")</f>
        <v/>
      </c>
      <c r="F392" s="11" t="str">
        <f>IF(AND($C392&lt;&gt;"",F$15&lt;&gt;""),IFERROR(INDEX(PriceChangeData!$C:$C,MATCH($C392&amp;F$15,PriceChangeData!$F:$F,0)),0)+F391,"")</f>
        <v/>
      </c>
      <c r="G392" s="11" t="str">
        <f>IF(AND($C392&lt;&gt;"",G$15&lt;&gt;""),IFERROR(INDEX(PriceChangeData!$C:$C,MATCH($C392&amp;G$15,PriceChangeData!$F:$F,0)),0)+G391,"")</f>
        <v/>
      </c>
      <c r="H392" s="19" t="str">
        <f>IF(AND($C392&lt;&gt;"",H$15&lt;&gt;""),IFERROR(INDEX(PriceChangeData!$C:$C,MATCH($C392&amp;H$15,PriceChangeData!$F:$F,0)),0)+H391,"")</f>
        <v/>
      </c>
    </row>
    <row r="393" spans="3:8" x14ac:dyDescent="0.25">
      <c r="C393" s="18" t="str">
        <f t="shared" si="7"/>
        <v/>
      </c>
      <c r="D393" s="10" t="str">
        <f>IF(AND($C393&lt;&gt;"",D$15&lt;&gt;""),IFERROR(INDEX(PriceChangeData!$C:$C,MATCH($C393&amp;D$15,PriceChangeData!$F:$F,0)),0)+D392,"")</f>
        <v/>
      </c>
      <c r="E393" s="11" t="str">
        <f>IF(AND($C393&lt;&gt;"",E$15&lt;&gt;""),IFERROR(INDEX(PriceChangeData!$C:$C,MATCH($C393&amp;E$15,PriceChangeData!$F:$F,0)),0)+E392,"")</f>
        <v/>
      </c>
      <c r="F393" s="11" t="str">
        <f>IF(AND($C393&lt;&gt;"",F$15&lt;&gt;""),IFERROR(INDEX(PriceChangeData!$C:$C,MATCH($C393&amp;F$15,PriceChangeData!$F:$F,0)),0)+F392,"")</f>
        <v/>
      </c>
      <c r="G393" s="11" t="str">
        <f>IF(AND($C393&lt;&gt;"",G$15&lt;&gt;""),IFERROR(INDEX(PriceChangeData!$C:$C,MATCH($C393&amp;G$15,PriceChangeData!$F:$F,0)),0)+G392,"")</f>
        <v/>
      </c>
      <c r="H393" s="19" t="str">
        <f>IF(AND($C393&lt;&gt;"",H$15&lt;&gt;""),IFERROR(INDEX(PriceChangeData!$C:$C,MATCH($C393&amp;H$15,PriceChangeData!$F:$F,0)),0)+H392,"")</f>
        <v/>
      </c>
    </row>
    <row r="394" spans="3:8" x14ac:dyDescent="0.25">
      <c r="C394" s="18" t="str">
        <f t="shared" si="7"/>
        <v/>
      </c>
      <c r="D394" s="10" t="str">
        <f>IF(AND($C394&lt;&gt;"",D$15&lt;&gt;""),IFERROR(INDEX(PriceChangeData!$C:$C,MATCH($C394&amp;D$15,PriceChangeData!$F:$F,0)),0)+D393,"")</f>
        <v/>
      </c>
      <c r="E394" s="11" t="str">
        <f>IF(AND($C394&lt;&gt;"",E$15&lt;&gt;""),IFERROR(INDEX(PriceChangeData!$C:$C,MATCH($C394&amp;E$15,PriceChangeData!$F:$F,0)),0)+E393,"")</f>
        <v/>
      </c>
      <c r="F394" s="11" t="str">
        <f>IF(AND($C394&lt;&gt;"",F$15&lt;&gt;""),IFERROR(INDEX(PriceChangeData!$C:$C,MATCH($C394&amp;F$15,PriceChangeData!$F:$F,0)),0)+F393,"")</f>
        <v/>
      </c>
      <c r="G394" s="11" t="str">
        <f>IF(AND($C394&lt;&gt;"",G$15&lt;&gt;""),IFERROR(INDEX(PriceChangeData!$C:$C,MATCH($C394&amp;G$15,PriceChangeData!$F:$F,0)),0)+G393,"")</f>
        <v/>
      </c>
      <c r="H394" s="19" t="str">
        <f>IF(AND($C394&lt;&gt;"",H$15&lt;&gt;""),IFERROR(INDEX(PriceChangeData!$C:$C,MATCH($C394&amp;H$15,PriceChangeData!$F:$F,0)),0)+H393,"")</f>
        <v/>
      </c>
    </row>
    <row r="395" spans="3:8" x14ac:dyDescent="0.25">
      <c r="C395" s="18" t="str">
        <f t="shared" si="7"/>
        <v/>
      </c>
      <c r="D395" s="10" t="str">
        <f>IF(AND($C395&lt;&gt;"",D$15&lt;&gt;""),IFERROR(INDEX(PriceChangeData!$C:$C,MATCH($C395&amp;D$15,PriceChangeData!$F:$F,0)),0)+D394,"")</f>
        <v/>
      </c>
      <c r="E395" s="11" t="str">
        <f>IF(AND($C395&lt;&gt;"",E$15&lt;&gt;""),IFERROR(INDEX(PriceChangeData!$C:$C,MATCH($C395&amp;E$15,PriceChangeData!$F:$F,0)),0)+E394,"")</f>
        <v/>
      </c>
      <c r="F395" s="11" t="str">
        <f>IF(AND($C395&lt;&gt;"",F$15&lt;&gt;""),IFERROR(INDEX(PriceChangeData!$C:$C,MATCH($C395&amp;F$15,PriceChangeData!$F:$F,0)),0)+F394,"")</f>
        <v/>
      </c>
      <c r="G395" s="11" t="str">
        <f>IF(AND($C395&lt;&gt;"",G$15&lt;&gt;""),IFERROR(INDEX(PriceChangeData!$C:$C,MATCH($C395&amp;G$15,PriceChangeData!$F:$F,0)),0)+G394,"")</f>
        <v/>
      </c>
      <c r="H395" s="19" t="str">
        <f>IF(AND($C395&lt;&gt;"",H$15&lt;&gt;""),IFERROR(INDEX(PriceChangeData!$C:$C,MATCH($C395&amp;H$15,PriceChangeData!$F:$F,0)),0)+H394,"")</f>
        <v/>
      </c>
    </row>
    <row r="396" spans="3:8" x14ac:dyDescent="0.25">
      <c r="C396" s="18" t="str">
        <f t="shared" si="7"/>
        <v/>
      </c>
      <c r="D396" s="10" t="str">
        <f>IF(AND($C396&lt;&gt;"",D$15&lt;&gt;""),IFERROR(INDEX(PriceChangeData!$C:$C,MATCH($C396&amp;D$15,PriceChangeData!$F:$F,0)),0)+D395,"")</f>
        <v/>
      </c>
      <c r="E396" s="11" t="str">
        <f>IF(AND($C396&lt;&gt;"",E$15&lt;&gt;""),IFERROR(INDEX(PriceChangeData!$C:$C,MATCH($C396&amp;E$15,PriceChangeData!$F:$F,0)),0)+E395,"")</f>
        <v/>
      </c>
      <c r="F396" s="11" t="str">
        <f>IF(AND($C396&lt;&gt;"",F$15&lt;&gt;""),IFERROR(INDEX(PriceChangeData!$C:$C,MATCH($C396&amp;F$15,PriceChangeData!$F:$F,0)),0)+F395,"")</f>
        <v/>
      </c>
      <c r="G396" s="11" t="str">
        <f>IF(AND($C396&lt;&gt;"",G$15&lt;&gt;""),IFERROR(INDEX(PriceChangeData!$C:$C,MATCH($C396&amp;G$15,PriceChangeData!$F:$F,0)),0)+G395,"")</f>
        <v/>
      </c>
      <c r="H396" s="19" t="str">
        <f>IF(AND($C396&lt;&gt;"",H$15&lt;&gt;""),IFERROR(INDEX(PriceChangeData!$C:$C,MATCH($C396&amp;H$15,PriceChangeData!$F:$F,0)),0)+H395,"")</f>
        <v/>
      </c>
    </row>
    <row r="397" spans="3:8" x14ac:dyDescent="0.25">
      <c r="C397" s="20" t="str">
        <f t="shared" si="7"/>
        <v/>
      </c>
      <c r="D397" s="21" t="str">
        <f>IF(AND($C397&lt;&gt;"",D$15&lt;&gt;""),IFERROR(INDEX(PriceChangeData!$C:$C,MATCH($C397&amp;D$15,PriceChangeData!$F:$F,0)),0)+D396,"")</f>
        <v/>
      </c>
      <c r="E397" s="22" t="str">
        <f>IF(AND($C397&lt;&gt;"",E$15&lt;&gt;""),IFERROR(INDEX(PriceChangeData!$C:$C,MATCH($C397&amp;E$15,PriceChangeData!$F:$F,0)),0)+E396,"")</f>
        <v/>
      </c>
      <c r="F397" s="22" t="str">
        <f>IF(AND($C397&lt;&gt;"",F$15&lt;&gt;""),IFERROR(INDEX(PriceChangeData!$C:$C,MATCH($C397&amp;F$15,PriceChangeData!$F:$F,0)),0)+F396,"")</f>
        <v/>
      </c>
      <c r="G397" s="22" t="str">
        <f>IF(AND($C397&lt;&gt;"",G$15&lt;&gt;""),IFERROR(INDEX(PriceChangeData!$C:$C,MATCH($C397&amp;G$15,PriceChangeData!$F:$F,0)),0)+G396,"")</f>
        <v/>
      </c>
      <c r="H397" s="23" t="str">
        <f>IF(AND($C397&lt;&gt;"",H$15&lt;&gt;""),IFERROR(INDEX(PriceChangeData!$C:$C,MATCH($C397&amp;H$15,PriceChangeData!$F:$F,0)),0)+H396,"")</f>
        <v/>
      </c>
    </row>
    <row r="398" spans="3:8" x14ac:dyDescent="0.25">
      <c r="C398" s="4"/>
    </row>
    <row r="399" spans="3:8" x14ac:dyDescent="0.25">
      <c r="C399" s="4"/>
    </row>
    <row r="400" spans="3:8" x14ac:dyDescent="0.25">
      <c r="C400" s="4"/>
    </row>
    <row r="401" spans="3:3" x14ac:dyDescent="0.25">
      <c r="C401" s="4"/>
    </row>
    <row r="402" spans="3:3" x14ac:dyDescent="0.25">
      <c r="C402" s="4"/>
    </row>
    <row r="403" spans="3:3" x14ac:dyDescent="0.25">
      <c r="C403" s="4"/>
    </row>
    <row r="404" spans="3:3" x14ac:dyDescent="0.25">
      <c r="C404" s="4"/>
    </row>
    <row r="405" spans="3:3" x14ac:dyDescent="0.25">
      <c r="C405" s="4"/>
    </row>
    <row r="406" spans="3:3" x14ac:dyDescent="0.25">
      <c r="C406" s="4"/>
    </row>
    <row r="407" spans="3:3" x14ac:dyDescent="0.25">
      <c r="C407" s="4"/>
    </row>
    <row r="408" spans="3:3" x14ac:dyDescent="0.25">
      <c r="C408" s="4"/>
    </row>
    <row r="409" spans="3:3" x14ac:dyDescent="0.25">
      <c r="C409" s="4"/>
    </row>
    <row r="410" spans="3:3" x14ac:dyDescent="0.25">
      <c r="C410" s="4"/>
    </row>
    <row r="411" spans="3:3" x14ac:dyDescent="0.25">
      <c r="C411" s="4"/>
    </row>
    <row r="412" spans="3:3" x14ac:dyDescent="0.25">
      <c r="C412" s="4"/>
    </row>
    <row r="413" spans="3:3" x14ac:dyDescent="0.25">
      <c r="C413" s="4"/>
    </row>
    <row r="414" spans="3:3" x14ac:dyDescent="0.25">
      <c r="C414" s="4"/>
    </row>
    <row r="415" spans="3:3" x14ac:dyDescent="0.25">
      <c r="C415" s="4"/>
    </row>
    <row r="416" spans="3:3" x14ac:dyDescent="0.25">
      <c r="C416" s="4"/>
    </row>
    <row r="417" spans="3:3" x14ac:dyDescent="0.25">
      <c r="C417" s="4"/>
    </row>
    <row r="418" spans="3:3" x14ac:dyDescent="0.25">
      <c r="C418" s="4"/>
    </row>
    <row r="419" spans="3:3" x14ac:dyDescent="0.25">
      <c r="C419" s="4"/>
    </row>
    <row r="420" spans="3:3" x14ac:dyDescent="0.25">
      <c r="C420" s="4"/>
    </row>
    <row r="421" spans="3:3" x14ac:dyDescent="0.25">
      <c r="C421" s="4"/>
    </row>
    <row r="422" spans="3:3" x14ac:dyDescent="0.25">
      <c r="C422" s="4"/>
    </row>
    <row r="423" spans="3:3" x14ac:dyDescent="0.25">
      <c r="C423" s="4"/>
    </row>
    <row r="424" spans="3:3" x14ac:dyDescent="0.25">
      <c r="C424" s="4"/>
    </row>
    <row r="425" spans="3:3" x14ac:dyDescent="0.25">
      <c r="C425" s="4"/>
    </row>
    <row r="426" spans="3:3" x14ac:dyDescent="0.25">
      <c r="C426" s="4"/>
    </row>
    <row r="427" spans="3:3" x14ac:dyDescent="0.25">
      <c r="C427" s="4"/>
    </row>
    <row r="428" spans="3:3" x14ac:dyDescent="0.25">
      <c r="C428" s="4"/>
    </row>
    <row r="429" spans="3:3" x14ac:dyDescent="0.25">
      <c r="C429" s="4"/>
    </row>
    <row r="430" spans="3:3" x14ac:dyDescent="0.25">
      <c r="C430" s="4"/>
    </row>
    <row r="431" spans="3:3" x14ac:dyDescent="0.25">
      <c r="C431" s="4"/>
    </row>
    <row r="432" spans="3:3" x14ac:dyDescent="0.25">
      <c r="C432" s="4"/>
    </row>
    <row r="433" spans="3:3" x14ac:dyDescent="0.25">
      <c r="C433" s="4"/>
    </row>
    <row r="434" spans="3:3" x14ac:dyDescent="0.25">
      <c r="C434" s="4"/>
    </row>
    <row r="435" spans="3:3" x14ac:dyDescent="0.25">
      <c r="C435" s="4"/>
    </row>
    <row r="436" spans="3:3" x14ac:dyDescent="0.25">
      <c r="C436" s="4"/>
    </row>
    <row r="437" spans="3:3" x14ac:dyDescent="0.25">
      <c r="C437" s="4"/>
    </row>
    <row r="438" spans="3:3" x14ac:dyDescent="0.25">
      <c r="C438" s="4"/>
    </row>
    <row r="439" spans="3:3" x14ac:dyDescent="0.25">
      <c r="C439" s="4"/>
    </row>
    <row r="440" spans="3:3" x14ac:dyDescent="0.25">
      <c r="C440" s="4"/>
    </row>
    <row r="441" spans="3:3" x14ac:dyDescent="0.25">
      <c r="C441" s="4"/>
    </row>
    <row r="442" spans="3:3" x14ac:dyDescent="0.25">
      <c r="C442" s="4"/>
    </row>
    <row r="443" spans="3:3" x14ac:dyDescent="0.25">
      <c r="C443" s="4"/>
    </row>
    <row r="444" spans="3:3" x14ac:dyDescent="0.25">
      <c r="C444" s="4"/>
    </row>
    <row r="445" spans="3:3" x14ac:dyDescent="0.25">
      <c r="C445" s="4"/>
    </row>
    <row r="446" spans="3:3" x14ac:dyDescent="0.25">
      <c r="C446" s="4"/>
    </row>
    <row r="447" spans="3:3" x14ac:dyDescent="0.25">
      <c r="C447" s="4"/>
    </row>
    <row r="448" spans="3:3" x14ac:dyDescent="0.25">
      <c r="C448" s="4"/>
    </row>
    <row r="449" spans="3:3" x14ac:dyDescent="0.25">
      <c r="C449" s="4"/>
    </row>
    <row r="450" spans="3:3" x14ac:dyDescent="0.25">
      <c r="C450" s="4"/>
    </row>
    <row r="451" spans="3:3" x14ac:dyDescent="0.25">
      <c r="C451" s="4"/>
    </row>
    <row r="452" spans="3:3" x14ac:dyDescent="0.25">
      <c r="C452" s="4"/>
    </row>
    <row r="453" spans="3:3" x14ac:dyDescent="0.25">
      <c r="C453" s="4"/>
    </row>
    <row r="454" spans="3:3" x14ac:dyDescent="0.25">
      <c r="C454" s="4"/>
    </row>
    <row r="455" spans="3:3" x14ac:dyDescent="0.25">
      <c r="C455" s="4"/>
    </row>
    <row r="456" spans="3:3" x14ac:dyDescent="0.25">
      <c r="C456" s="4"/>
    </row>
    <row r="457" spans="3:3" x14ac:dyDescent="0.25">
      <c r="C457" s="4"/>
    </row>
    <row r="458" spans="3:3" x14ac:dyDescent="0.25">
      <c r="C458" s="4"/>
    </row>
    <row r="459" spans="3:3" x14ac:dyDescent="0.25">
      <c r="C459" s="4"/>
    </row>
    <row r="460" spans="3:3" x14ac:dyDescent="0.25">
      <c r="C460" s="4"/>
    </row>
    <row r="461" spans="3:3" x14ac:dyDescent="0.25">
      <c r="C461" s="4"/>
    </row>
    <row r="462" spans="3:3" x14ac:dyDescent="0.25">
      <c r="C462" s="4"/>
    </row>
    <row r="463" spans="3:3" x14ac:dyDescent="0.25">
      <c r="C463" s="4"/>
    </row>
    <row r="464" spans="3:3" x14ac:dyDescent="0.25">
      <c r="C464" s="4"/>
    </row>
    <row r="465" spans="3:3" x14ac:dyDescent="0.25">
      <c r="C465" s="4"/>
    </row>
    <row r="466" spans="3:3" x14ac:dyDescent="0.25">
      <c r="C466" s="4"/>
    </row>
    <row r="467" spans="3:3" x14ac:dyDescent="0.25">
      <c r="C467" s="4"/>
    </row>
    <row r="468" spans="3:3" x14ac:dyDescent="0.25">
      <c r="C468" s="4"/>
    </row>
    <row r="469" spans="3:3" x14ac:dyDescent="0.25">
      <c r="C469" s="4"/>
    </row>
    <row r="470" spans="3:3" x14ac:dyDescent="0.25">
      <c r="C470" s="4"/>
    </row>
    <row r="471" spans="3:3" x14ac:dyDescent="0.25">
      <c r="C471" s="4"/>
    </row>
    <row r="472" spans="3:3" x14ac:dyDescent="0.25">
      <c r="C472" s="4"/>
    </row>
    <row r="473" spans="3:3" x14ac:dyDescent="0.25">
      <c r="C473" s="4"/>
    </row>
    <row r="474" spans="3:3" x14ac:dyDescent="0.25">
      <c r="C474" s="4"/>
    </row>
    <row r="475" spans="3:3" x14ac:dyDescent="0.25">
      <c r="C475" s="4"/>
    </row>
    <row r="476" spans="3:3" x14ac:dyDescent="0.25">
      <c r="C476" s="4"/>
    </row>
    <row r="477" spans="3:3" x14ac:dyDescent="0.25">
      <c r="C477" s="4"/>
    </row>
    <row r="478" spans="3:3" x14ac:dyDescent="0.25">
      <c r="C478" s="4"/>
    </row>
    <row r="479" spans="3:3" x14ac:dyDescent="0.25">
      <c r="C479" s="4"/>
    </row>
    <row r="480" spans="3:3" x14ac:dyDescent="0.25">
      <c r="C480" s="4"/>
    </row>
    <row r="481" spans="3:3" x14ac:dyDescent="0.25">
      <c r="C481" s="4"/>
    </row>
    <row r="482" spans="3:3" x14ac:dyDescent="0.25">
      <c r="C482" s="4"/>
    </row>
    <row r="483" spans="3:3" x14ac:dyDescent="0.25">
      <c r="C483" s="4"/>
    </row>
    <row r="484" spans="3:3" x14ac:dyDescent="0.25">
      <c r="C484" s="4"/>
    </row>
    <row r="485" spans="3:3" x14ac:dyDescent="0.25">
      <c r="C485" s="4"/>
    </row>
    <row r="486" spans="3:3" x14ac:dyDescent="0.25">
      <c r="C486" s="4"/>
    </row>
    <row r="487" spans="3:3" x14ac:dyDescent="0.25">
      <c r="C487" s="4"/>
    </row>
    <row r="488" spans="3:3" x14ac:dyDescent="0.25">
      <c r="C488" s="4"/>
    </row>
    <row r="489" spans="3:3" x14ac:dyDescent="0.25">
      <c r="C489" s="4"/>
    </row>
    <row r="490" spans="3:3" x14ac:dyDescent="0.25">
      <c r="C490" s="4"/>
    </row>
    <row r="491" spans="3:3" x14ac:dyDescent="0.25">
      <c r="C491" s="4"/>
    </row>
    <row r="492" spans="3:3" x14ac:dyDescent="0.25">
      <c r="C492" s="4"/>
    </row>
    <row r="493" spans="3:3" x14ac:dyDescent="0.25">
      <c r="C493" s="4"/>
    </row>
    <row r="494" spans="3:3" x14ac:dyDescent="0.25">
      <c r="C494" s="4"/>
    </row>
    <row r="495" spans="3:3" x14ac:dyDescent="0.25">
      <c r="C495" s="4"/>
    </row>
    <row r="496" spans="3:3" x14ac:dyDescent="0.25">
      <c r="C496" s="4"/>
    </row>
    <row r="497" spans="3:3" x14ac:dyDescent="0.25">
      <c r="C497" s="4"/>
    </row>
    <row r="498" spans="3:3" x14ac:dyDescent="0.25">
      <c r="C498" s="4"/>
    </row>
    <row r="499" spans="3:3" x14ac:dyDescent="0.25">
      <c r="C499" s="4"/>
    </row>
    <row r="500" spans="3:3" x14ac:dyDescent="0.25">
      <c r="C500" s="4"/>
    </row>
    <row r="501" spans="3:3" x14ac:dyDescent="0.25">
      <c r="C501" s="4"/>
    </row>
    <row r="502" spans="3:3" x14ac:dyDescent="0.25">
      <c r="C502" s="4"/>
    </row>
    <row r="503" spans="3:3" x14ac:dyDescent="0.25">
      <c r="C503" s="4"/>
    </row>
    <row r="504" spans="3:3" x14ac:dyDescent="0.25">
      <c r="C504" s="4"/>
    </row>
    <row r="505" spans="3:3" x14ac:dyDescent="0.25">
      <c r="C505" s="4"/>
    </row>
    <row r="506" spans="3:3" x14ac:dyDescent="0.25">
      <c r="C506" s="4"/>
    </row>
    <row r="507" spans="3:3" x14ac:dyDescent="0.25">
      <c r="C507" s="4"/>
    </row>
    <row r="508" spans="3:3" x14ac:dyDescent="0.25">
      <c r="C508" s="4"/>
    </row>
    <row r="509" spans="3:3" x14ac:dyDescent="0.25">
      <c r="C509" s="4"/>
    </row>
    <row r="510" spans="3:3" x14ac:dyDescent="0.25">
      <c r="C510" s="4"/>
    </row>
    <row r="511" spans="3:3" x14ac:dyDescent="0.25">
      <c r="C511" s="4"/>
    </row>
    <row r="512" spans="3:3" x14ac:dyDescent="0.25">
      <c r="C512" s="4"/>
    </row>
    <row r="513" spans="3:3" x14ac:dyDescent="0.25">
      <c r="C513" s="4"/>
    </row>
    <row r="514" spans="3:3" x14ac:dyDescent="0.25">
      <c r="C514" s="4"/>
    </row>
    <row r="515" spans="3:3" x14ac:dyDescent="0.25">
      <c r="C515" s="4"/>
    </row>
    <row r="516" spans="3:3" x14ac:dyDescent="0.25">
      <c r="C516" s="4"/>
    </row>
    <row r="517" spans="3:3" x14ac:dyDescent="0.25">
      <c r="C517" s="4"/>
    </row>
    <row r="518" spans="3:3" x14ac:dyDescent="0.25">
      <c r="C518" s="4"/>
    </row>
    <row r="519" spans="3:3" x14ac:dyDescent="0.25">
      <c r="C519" s="4"/>
    </row>
    <row r="520" spans="3:3" x14ac:dyDescent="0.25">
      <c r="C520" s="4"/>
    </row>
    <row r="521" spans="3:3" x14ac:dyDescent="0.25">
      <c r="C521" s="4"/>
    </row>
    <row r="522" spans="3:3" x14ac:dyDescent="0.25">
      <c r="C522" s="4"/>
    </row>
    <row r="523" spans="3:3" x14ac:dyDescent="0.25">
      <c r="C523" s="4"/>
    </row>
    <row r="524" spans="3:3" x14ac:dyDescent="0.25">
      <c r="C524" s="4"/>
    </row>
    <row r="525" spans="3:3" x14ac:dyDescent="0.25">
      <c r="C525" s="4"/>
    </row>
    <row r="526" spans="3:3" x14ac:dyDescent="0.25">
      <c r="C526" s="4"/>
    </row>
    <row r="527" spans="3:3" x14ac:dyDescent="0.25">
      <c r="C527" s="4"/>
    </row>
    <row r="528" spans="3:3" x14ac:dyDescent="0.25">
      <c r="C528" s="4"/>
    </row>
    <row r="529" spans="3:3" x14ac:dyDescent="0.25">
      <c r="C529" s="4"/>
    </row>
    <row r="530" spans="3:3" x14ac:dyDescent="0.25">
      <c r="C530" s="4"/>
    </row>
    <row r="531" spans="3:3" x14ac:dyDescent="0.25">
      <c r="C531" s="4"/>
    </row>
    <row r="532" spans="3:3" x14ac:dyDescent="0.25">
      <c r="C532" s="4"/>
    </row>
    <row r="533" spans="3:3" x14ac:dyDescent="0.25">
      <c r="C533" s="4"/>
    </row>
    <row r="534" spans="3:3" x14ac:dyDescent="0.25">
      <c r="C534" s="4"/>
    </row>
    <row r="535" spans="3:3" x14ac:dyDescent="0.25">
      <c r="C535" s="4"/>
    </row>
    <row r="536" spans="3:3" x14ac:dyDescent="0.25">
      <c r="C536" s="4"/>
    </row>
    <row r="537" spans="3:3" x14ac:dyDescent="0.25">
      <c r="C537" s="4"/>
    </row>
    <row r="538" spans="3:3" x14ac:dyDescent="0.25">
      <c r="C538" s="4"/>
    </row>
    <row r="539" spans="3:3" x14ac:dyDescent="0.25">
      <c r="C539" s="4"/>
    </row>
    <row r="540" spans="3:3" x14ac:dyDescent="0.25">
      <c r="C540" s="4"/>
    </row>
    <row r="541" spans="3:3" x14ac:dyDescent="0.25">
      <c r="C541" s="4"/>
    </row>
    <row r="542" spans="3:3" x14ac:dyDescent="0.25">
      <c r="C542" s="4"/>
    </row>
    <row r="543" spans="3:3" x14ac:dyDescent="0.25">
      <c r="C543" s="4"/>
    </row>
    <row r="544" spans="3:3" x14ac:dyDescent="0.25">
      <c r="C544" s="4"/>
    </row>
    <row r="545" spans="3:3" x14ac:dyDescent="0.25">
      <c r="C545" s="4"/>
    </row>
    <row r="546" spans="3:3" x14ac:dyDescent="0.25">
      <c r="C546" s="4"/>
    </row>
    <row r="547" spans="3:3" x14ac:dyDescent="0.25">
      <c r="C547" s="4"/>
    </row>
    <row r="548" spans="3:3" x14ac:dyDescent="0.25">
      <c r="C548" s="4"/>
    </row>
    <row r="549" spans="3:3" x14ac:dyDescent="0.25">
      <c r="C549" s="4"/>
    </row>
    <row r="550" spans="3:3" x14ac:dyDescent="0.25">
      <c r="C550" s="4"/>
    </row>
    <row r="551" spans="3:3" x14ac:dyDescent="0.25">
      <c r="C551" s="4"/>
    </row>
    <row r="552" spans="3:3" x14ac:dyDescent="0.25">
      <c r="C552" s="4"/>
    </row>
    <row r="553" spans="3:3" x14ac:dyDescent="0.25">
      <c r="C553" s="4"/>
    </row>
    <row r="554" spans="3:3" x14ac:dyDescent="0.25">
      <c r="C554" s="4"/>
    </row>
    <row r="555" spans="3:3" x14ac:dyDescent="0.25">
      <c r="C555" s="4"/>
    </row>
    <row r="556" spans="3:3" x14ac:dyDescent="0.25">
      <c r="C556" s="4"/>
    </row>
    <row r="557" spans="3:3" x14ac:dyDescent="0.25">
      <c r="C557" s="4"/>
    </row>
    <row r="558" spans="3:3" x14ac:dyDescent="0.25">
      <c r="C558" s="4"/>
    </row>
    <row r="559" spans="3:3" x14ac:dyDescent="0.25">
      <c r="C559" s="4"/>
    </row>
    <row r="560" spans="3:3" x14ac:dyDescent="0.25">
      <c r="C560" s="4"/>
    </row>
    <row r="561" spans="3:3" x14ac:dyDescent="0.25">
      <c r="C561" s="4"/>
    </row>
    <row r="562" spans="3:3" x14ac:dyDescent="0.25">
      <c r="C562" s="4"/>
    </row>
    <row r="563" spans="3:3" x14ac:dyDescent="0.25">
      <c r="C563" s="4"/>
    </row>
    <row r="564" spans="3:3" x14ac:dyDescent="0.25">
      <c r="C564" s="4"/>
    </row>
    <row r="565" spans="3:3" x14ac:dyDescent="0.25">
      <c r="C565" s="4"/>
    </row>
    <row r="566" spans="3:3" x14ac:dyDescent="0.25">
      <c r="C566" s="4"/>
    </row>
    <row r="567" spans="3:3" x14ac:dyDescent="0.25">
      <c r="C567" s="4"/>
    </row>
    <row r="568" spans="3:3" x14ac:dyDescent="0.25">
      <c r="C568" s="4"/>
    </row>
    <row r="569" spans="3:3" x14ac:dyDescent="0.25">
      <c r="C569" s="4"/>
    </row>
    <row r="570" spans="3:3" x14ac:dyDescent="0.25">
      <c r="C570" s="4"/>
    </row>
    <row r="571" spans="3:3" x14ac:dyDescent="0.25">
      <c r="C571" s="4"/>
    </row>
    <row r="572" spans="3:3" x14ac:dyDescent="0.25">
      <c r="C572" s="4"/>
    </row>
    <row r="573" spans="3:3" x14ac:dyDescent="0.25">
      <c r="C573" s="4"/>
    </row>
    <row r="574" spans="3:3" x14ac:dyDescent="0.25">
      <c r="C574" s="4"/>
    </row>
    <row r="575" spans="3:3" x14ac:dyDescent="0.25">
      <c r="C575" s="4"/>
    </row>
    <row r="576" spans="3:3" x14ac:dyDescent="0.25">
      <c r="C576" s="4"/>
    </row>
    <row r="577" spans="3:3" x14ac:dyDescent="0.25">
      <c r="C577" s="4"/>
    </row>
    <row r="578" spans="3:3" x14ac:dyDescent="0.25">
      <c r="C578" s="4"/>
    </row>
    <row r="579" spans="3:3" x14ac:dyDescent="0.25">
      <c r="C579" s="4"/>
    </row>
    <row r="580" spans="3:3" x14ac:dyDescent="0.25">
      <c r="C580" s="4"/>
    </row>
    <row r="581" spans="3:3" x14ac:dyDescent="0.25">
      <c r="C581" s="4"/>
    </row>
    <row r="582" spans="3:3" x14ac:dyDescent="0.25">
      <c r="C582" s="4"/>
    </row>
    <row r="583" spans="3:3" x14ac:dyDescent="0.25">
      <c r="C583" s="4"/>
    </row>
    <row r="584" spans="3:3" x14ac:dyDescent="0.25">
      <c r="C584" s="4"/>
    </row>
    <row r="585" spans="3:3" x14ac:dyDescent="0.25">
      <c r="C585" s="4"/>
    </row>
    <row r="586" spans="3:3" x14ac:dyDescent="0.25">
      <c r="C586" s="4"/>
    </row>
    <row r="587" spans="3:3" x14ac:dyDescent="0.25">
      <c r="C587" s="4"/>
    </row>
    <row r="588" spans="3:3" x14ac:dyDescent="0.25">
      <c r="C588" s="4"/>
    </row>
    <row r="589" spans="3:3" x14ac:dyDescent="0.25">
      <c r="C589" s="4"/>
    </row>
    <row r="590" spans="3:3" x14ac:dyDescent="0.25">
      <c r="C590" s="4"/>
    </row>
    <row r="591" spans="3:3" x14ac:dyDescent="0.25">
      <c r="C591" s="4"/>
    </row>
    <row r="592" spans="3:3" x14ac:dyDescent="0.25">
      <c r="C592" s="4"/>
    </row>
    <row r="593" spans="3:3" x14ac:dyDescent="0.25">
      <c r="C593" s="4"/>
    </row>
    <row r="594" spans="3:3" x14ac:dyDescent="0.25">
      <c r="C594" s="4"/>
    </row>
    <row r="595" spans="3:3" x14ac:dyDescent="0.25">
      <c r="C595" s="4"/>
    </row>
    <row r="596" spans="3:3" x14ac:dyDescent="0.25">
      <c r="C596" s="4"/>
    </row>
    <row r="597" spans="3:3" x14ac:dyDescent="0.25">
      <c r="C597" s="4"/>
    </row>
    <row r="598" spans="3:3" x14ac:dyDescent="0.25">
      <c r="C598" s="4"/>
    </row>
    <row r="599" spans="3:3" x14ac:dyDescent="0.25">
      <c r="C599" s="4"/>
    </row>
    <row r="600" spans="3:3" x14ac:dyDescent="0.25">
      <c r="C600" s="4"/>
    </row>
    <row r="601" spans="3:3" x14ac:dyDescent="0.25">
      <c r="C601" s="4"/>
    </row>
    <row r="602" spans="3:3" x14ac:dyDescent="0.25">
      <c r="C602" s="4"/>
    </row>
    <row r="603" spans="3:3" x14ac:dyDescent="0.25">
      <c r="C603" s="4"/>
    </row>
    <row r="604" spans="3:3" x14ac:dyDescent="0.25">
      <c r="C604" s="4"/>
    </row>
    <row r="605" spans="3:3" x14ac:dyDescent="0.25">
      <c r="C605" s="4"/>
    </row>
    <row r="606" spans="3:3" x14ac:dyDescent="0.25">
      <c r="C606" s="4"/>
    </row>
    <row r="607" spans="3:3" x14ac:dyDescent="0.25">
      <c r="C607" s="4"/>
    </row>
    <row r="608" spans="3:3" x14ac:dyDescent="0.25">
      <c r="C608" s="4"/>
    </row>
    <row r="609" spans="3:3" x14ac:dyDescent="0.25">
      <c r="C609" s="4"/>
    </row>
    <row r="610" spans="3:3" x14ac:dyDescent="0.25">
      <c r="C610" s="4"/>
    </row>
    <row r="611" spans="3:3" x14ac:dyDescent="0.25">
      <c r="C611" s="4"/>
    </row>
    <row r="612" spans="3:3" x14ac:dyDescent="0.25">
      <c r="C612" s="4"/>
    </row>
    <row r="613" spans="3:3" x14ac:dyDescent="0.25">
      <c r="C613" s="4"/>
    </row>
    <row r="614" spans="3:3" x14ac:dyDescent="0.25">
      <c r="C614" s="4"/>
    </row>
    <row r="615" spans="3:3" x14ac:dyDescent="0.25">
      <c r="C615" s="4"/>
    </row>
    <row r="616" spans="3:3" x14ac:dyDescent="0.25">
      <c r="C616" s="4"/>
    </row>
    <row r="617" spans="3:3" x14ac:dyDescent="0.25">
      <c r="C617" s="4"/>
    </row>
    <row r="618" spans="3:3" x14ac:dyDescent="0.25">
      <c r="C618" s="4"/>
    </row>
    <row r="619" spans="3:3" x14ac:dyDescent="0.25">
      <c r="C619" s="4"/>
    </row>
    <row r="620" spans="3:3" x14ac:dyDescent="0.25">
      <c r="C620" s="4"/>
    </row>
    <row r="621" spans="3:3" x14ac:dyDescent="0.25">
      <c r="C621" s="4"/>
    </row>
    <row r="622" spans="3:3" x14ac:dyDescent="0.25">
      <c r="C622" s="4"/>
    </row>
    <row r="623" spans="3:3" x14ac:dyDescent="0.25">
      <c r="C623" s="4"/>
    </row>
    <row r="624" spans="3:3" x14ac:dyDescent="0.25">
      <c r="C624" s="4"/>
    </row>
    <row r="625" spans="3:3" x14ac:dyDescent="0.25">
      <c r="C625" s="4"/>
    </row>
    <row r="626" spans="3:3" x14ac:dyDescent="0.25">
      <c r="C626" s="4"/>
    </row>
    <row r="627" spans="3:3" x14ac:dyDescent="0.25">
      <c r="C627" s="4"/>
    </row>
    <row r="628" spans="3:3" x14ac:dyDescent="0.25">
      <c r="C628" s="4"/>
    </row>
    <row r="629" spans="3:3" x14ac:dyDescent="0.25">
      <c r="C629" s="4"/>
    </row>
    <row r="630" spans="3:3" x14ac:dyDescent="0.25">
      <c r="C630" s="4"/>
    </row>
    <row r="631" spans="3:3" x14ac:dyDescent="0.25">
      <c r="C631" s="4"/>
    </row>
    <row r="632" spans="3:3" x14ac:dyDescent="0.25">
      <c r="C632" s="4"/>
    </row>
    <row r="633" spans="3:3" x14ac:dyDescent="0.25">
      <c r="C633" s="4"/>
    </row>
    <row r="634" spans="3:3" x14ac:dyDescent="0.25">
      <c r="C634" s="4"/>
    </row>
    <row r="635" spans="3:3" x14ac:dyDescent="0.25">
      <c r="C635" s="4"/>
    </row>
    <row r="636" spans="3:3" x14ac:dyDescent="0.25">
      <c r="C636" s="4"/>
    </row>
    <row r="637" spans="3:3" x14ac:dyDescent="0.25">
      <c r="C637" s="4"/>
    </row>
    <row r="638" spans="3:3" x14ac:dyDescent="0.25">
      <c r="C638" s="4"/>
    </row>
    <row r="639" spans="3:3" x14ac:dyDescent="0.25">
      <c r="C639" s="4"/>
    </row>
    <row r="640" spans="3:3" x14ac:dyDescent="0.25">
      <c r="C640" s="4"/>
    </row>
    <row r="641" spans="3:3" x14ac:dyDescent="0.25">
      <c r="C641" s="4"/>
    </row>
    <row r="642" spans="3:3" x14ac:dyDescent="0.25">
      <c r="C642" s="4"/>
    </row>
    <row r="643" spans="3:3" x14ac:dyDescent="0.25">
      <c r="C643" s="4"/>
    </row>
    <row r="644" spans="3:3" x14ac:dyDescent="0.25">
      <c r="C644" s="4"/>
    </row>
    <row r="645" spans="3:3" x14ac:dyDescent="0.25">
      <c r="C645" s="4"/>
    </row>
    <row r="646" spans="3:3" x14ac:dyDescent="0.25">
      <c r="C646" s="4"/>
    </row>
    <row r="647" spans="3:3" x14ac:dyDescent="0.25">
      <c r="C647" s="4"/>
    </row>
    <row r="648" spans="3:3" x14ac:dyDescent="0.25">
      <c r="C648" s="4"/>
    </row>
    <row r="649" spans="3:3" x14ac:dyDescent="0.25">
      <c r="C649" s="4"/>
    </row>
    <row r="650" spans="3:3" x14ac:dyDescent="0.25">
      <c r="C650" s="4"/>
    </row>
    <row r="651" spans="3:3" x14ac:dyDescent="0.25">
      <c r="C651" s="4"/>
    </row>
    <row r="652" spans="3:3" x14ac:dyDescent="0.25">
      <c r="C652" s="4"/>
    </row>
    <row r="653" spans="3:3" x14ac:dyDescent="0.25">
      <c r="C653" s="4"/>
    </row>
    <row r="654" spans="3:3" x14ac:dyDescent="0.25">
      <c r="C654" s="4"/>
    </row>
    <row r="655" spans="3:3" x14ac:dyDescent="0.25">
      <c r="C655" s="4"/>
    </row>
    <row r="656" spans="3:3" x14ac:dyDescent="0.25">
      <c r="C656" s="4"/>
    </row>
    <row r="657" spans="3:3" x14ac:dyDescent="0.25">
      <c r="C657" s="4"/>
    </row>
    <row r="658" spans="3:3" x14ac:dyDescent="0.25">
      <c r="C658" s="4"/>
    </row>
    <row r="659" spans="3:3" x14ac:dyDescent="0.25">
      <c r="C659" s="4"/>
    </row>
    <row r="660" spans="3:3" x14ac:dyDescent="0.25">
      <c r="C660" s="4"/>
    </row>
    <row r="661" spans="3:3" x14ac:dyDescent="0.25">
      <c r="C661" s="4"/>
    </row>
    <row r="662" spans="3:3" x14ac:dyDescent="0.25">
      <c r="C662" s="4"/>
    </row>
    <row r="663" spans="3:3" x14ac:dyDescent="0.25">
      <c r="C663" s="4"/>
    </row>
    <row r="664" spans="3:3" x14ac:dyDescent="0.25">
      <c r="C664" s="4"/>
    </row>
    <row r="665" spans="3:3" x14ac:dyDescent="0.25">
      <c r="C665" s="4"/>
    </row>
    <row r="666" spans="3:3" x14ac:dyDescent="0.25">
      <c r="C666" s="4"/>
    </row>
    <row r="667" spans="3:3" x14ac:dyDescent="0.25">
      <c r="C667" s="4"/>
    </row>
    <row r="668" spans="3:3" x14ac:dyDescent="0.25">
      <c r="C668" s="4"/>
    </row>
    <row r="669" spans="3:3" x14ac:dyDescent="0.25">
      <c r="C669" s="4"/>
    </row>
    <row r="670" spans="3:3" x14ac:dyDescent="0.25">
      <c r="C670" s="4"/>
    </row>
    <row r="671" spans="3:3" x14ac:dyDescent="0.25">
      <c r="C671" s="4"/>
    </row>
    <row r="672" spans="3:3" x14ac:dyDescent="0.25">
      <c r="C672" s="4"/>
    </row>
    <row r="673" spans="3:3" x14ac:dyDescent="0.25">
      <c r="C673" s="4"/>
    </row>
    <row r="674" spans="3:3" x14ac:dyDescent="0.25">
      <c r="C674" s="4"/>
    </row>
    <row r="675" spans="3:3" x14ac:dyDescent="0.25">
      <c r="C675" s="4"/>
    </row>
    <row r="676" spans="3:3" x14ac:dyDescent="0.25">
      <c r="C676" s="4"/>
    </row>
    <row r="677" spans="3:3" x14ac:dyDescent="0.25">
      <c r="C677" s="4"/>
    </row>
    <row r="678" spans="3:3" x14ac:dyDescent="0.25">
      <c r="C678" s="4"/>
    </row>
    <row r="679" spans="3:3" x14ac:dyDescent="0.25">
      <c r="C679" s="4"/>
    </row>
    <row r="680" spans="3:3" x14ac:dyDescent="0.25">
      <c r="C680" s="4"/>
    </row>
    <row r="681" spans="3:3" x14ac:dyDescent="0.25">
      <c r="C681" s="4"/>
    </row>
    <row r="682" spans="3:3" x14ac:dyDescent="0.25">
      <c r="C682" s="4"/>
    </row>
    <row r="683" spans="3:3" x14ac:dyDescent="0.25">
      <c r="C683" s="4"/>
    </row>
    <row r="684" spans="3:3" x14ac:dyDescent="0.25">
      <c r="C684" s="4"/>
    </row>
    <row r="685" spans="3:3" x14ac:dyDescent="0.25">
      <c r="C685" s="4"/>
    </row>
    <row r="686" spans="3:3" x14ac:dyDescent="0.25">
      <c r="C686" s="4"/>
    </row>
    <row r="687" spans="3:3" x14ac:dyDescent="0.25">
      <c r="C687" s="4"/>
    </row>
    <row r="688" spans="3:3" x14ac:dyDescent="0.25">
      <c r="C688" s="4"/>
    </row>
    <row r="689" spans="3:3" x14ac:dyDescent="0.25">
      <c r="C689" s="4"/>
    </row>
    <row r="690" spans="3:3" x14ac:dyDescent="0.25">
      <c r="C690" s="4"/>
    </row>
    <row r="691" spans="3:3" x14ac:dyDescent="0.25">
      <c r="C691" s="4"/>
    </row>
    <row r="692" spans="3:3" x14ac:dyDescent="0.25">
      <c r="C692" s="4"/>
    </row>
    <row r="693" spans="3:3" x14ac:dyDescent="0.25">
      <c r="C693" s="4"/>
    </row>
    <row r="694" spans="3:3" x14ac:dyDescent="0.25">
      <c r="C694" s="4"/>
    </row>
    <row r="695" spans="3:3" x14ac:dyDescent="0.25">
      <c r="C695" s="4"/>
    </row>
    <row r="696" spans="3:3" x14ac:dyDescent="0.25">
      <c r="C696" s="4"/>
    </row>
    <row r="697" spans="3:3" x14ac:dyDescent="0.25">
      <c r="C697" s="4"/>
    </row>
    <row r="698" spans="3:3" x14ac:dyDescent="0.25">
      <c r="C698" s="4"/>
    </row>
    <row r="699" spans="3:3" x14ac:dyDescent="0.25">
      <c r="C699" s="4"/>
    </row>
    <row r="700" spans="3:3" x14ac:dyDescent="0.25">
      <c r="C700" s="4"/>
    </row>
    <row r="701" spans="3:3" x14ac:dyDescent="0.25">
      <c r="C701" s="4"/>
    </row>
    <row r="702" spans="3:3" x14ac:dyDescent="0.25">
      <c r="C702" s="4"/>
    </row>
    <row r="703" spans="3:3" x14ac:dyDescent="0.25">
      <c r="C703" s="4"/>
    </row>
    <row r="704" spans="3:3" x14ac:dyDescent="0.25">
      <c r="C704" s="4"/>
    </row>
    <row r="705" spans="3:3" x14ac:dyDescent="0.25">
      <c r="C705" s="4"/>
    </row>
    <row r="706" spans="3:3" x14ac:dyDescent="0.25">
      <c r="C706" s="4"/>
    </row>
    <row r="707" spans="3:3" x14ac:dyDescent="0.25">
      <c r="C707" s="4"/>
    </row>
    <row r="708" spans="3:3" x14ac:dyDescent="0.25">
      <c r="C708" s="4"/>
    </row>
    <row r="709" spans="3:3" x14ac:dyDescent="0.25">
      <c r="C709" s="4"/>
    </row>
    <row r="710" spans="3:3" x14ac:dyDescent="0.25">
      <c r="C710" s="4"/>
    </row>
    <row r="711" spans="3:3" x14ac:dyDescent="0.25">
      <c r="C711" s="4"/>
    </row>
    <row r="712" spans="3:3" x14ac:dyDescent="0.25">
      <c r="C712" s="4"/>
    </row>
    <row r="713" spans="3:3" x14ac:dyDescent="0.25">
      <c r="C713" s="4"/>
    </row>
    <row r="714" spans="3:3" x14ac:dyDescent="0.25">
      <c r="C714" s="4"/>
    </row>
    <row r="715" spans="3:3" x14ac:dyDescent="0.25">
      <c r="C715" s="4"/>
    </row>
    <row r="716" spans="3:3" x14ac:dyDescent="0.25">
      <c r="C716" s="4"/>
    </row>
    <row r="717" spans="3:3" x14ac:dyDescent="0.25">
      <c r="C717" s="4"/>
    </row>
    <row r="718" spans="3:3" x14ac:dyDescent="0.25">
      <c r="C718" s="4"/>
    </row>
    <row r="719" spans="3:3" x14ac:dyDescent="0.25">
      <c r="C719" s="4"/>
    </row>
    <row r="720" spans="3:3" x14ac:dyDescent="0.25">
      <c r="C720" s="4"/>
    </row>
    <row r="721" spans="3:3" x14ac:dyDescent="0.25">
      <c r="C721" s="4"/>
    </row>
    <row r="722" spans="3:3" x14ac:dyDescent="0.25">
      <c r="C722" s="4"/>
    </row>
    <row r="723" spans="3:3" x14ac:dyDescent="0.25">
      <c r="C723" s="4"/>
    </row>
    <row r="724" spans="3:3" x14ac:dyDescent="0.25">
      <c r="C724" s="4"/>
    </row>
    <row r="725" spans="3:3" x14ac:dyDescent="0.25">
      <c r="C725" s="4"/>
    </row>
    <row r="726" spans="3:3" x14ac:dyDescent="0.25">
      <c r="C726" s="4"/>
    </row>
    <row r="727" spans="3:3" x14ac:dyDescent="0.25">
      <c r="C727" s="4"/>
    </row>
    <row r="728" spans="3:3" x14ac:dyDescent="0.25">
      <c r="C728" s="4"/>
    </row>
    <row r="729" spans="3:3" x14ac:dyDescent="0.25">
      <c r="C729" s="4"/>
    </row>
    <row r="730" spans="3:3" x14ac:dyDescent="0.25">
      <c r="C730" s="4"/>
    </row>
    <row r="731" spans="3:3" x14ac:dyDescent="0.25">
      <c r="C731" s="4"/>
    </row>
    <row r="732" spans="3:3" x14ac:dyDescent="0.25">
      <c r="C732" s="4"/>
    </row>
    <row r="733" spans="3:3" x14ac:dyDescent="0.25">
      <c r="C733" s="4"/>
    </row>
    <row r="734" spans="3:3" x14ac:dyDescent="0.25">
      <c r="C734" s="4"/>
    </row>
    <row r="735" spans="3:3" x14ac:dyDescent="0.25">
      <c r="C735" s="4"/>
    </row>
    <row r="736" spans="3:3" x14ac:dyDescent="0.25">
      <c r="C736" s="4"/>
    </row>
    <row r="737" spans="3:3" x14ac:dyDescent="0.25">
      <c r="C737" s="4"/>
    </row>
    <row r="738" spans="3:3" x14ac:dyDescent="0.25">
      <c r="C738" s="4"/>
    </row>
    <row r="739" spans="3:3" x14ac:dyDescent="0.25">
      <c r="C739" s="4"/>
    </row>
    <row r="740" spans="3:3" x14ac:dyDescent="0.25">
      <c r="C740" s="4"/>
    </row>
    <row r="741" spans="3:3" x14ac:dyDescent="0.25">
      <c r="C741" s="4"/>
    </row>
    <row r="742" spans="3:3" x14ac:dyDescent="0.25">
      <c r="C742" s="4"/>
    </row>
    <row r="743" spans="3:3" x14ac:dyDescent="0.25">
      <c r="C743" s="4"/>
    </row>
    <row r="744" spans="3:3" x14ac:dyDescent="0.25">
      <c r="C744" s="4"/>
    </row>
    <row r="745" spans="3:3" x14ac:dyDescent="0.25">
      <c r="C745" s="4"/>
    </row>
    <row r="746" spans="3:3" x14ac:dyDescent="0.25">
      <c r="C746" s="4"/>
    </row>
    <row r="747" spans="3:3" x14ac:dyDescent="0.25">
      <c r="C747" s="4"/>
    </row>
    <row r="748" spans="3:3" x14ac:dyDescent="0.25">
      <c r="C748" s="4"/>
    </row>
    <row r="749" spans="3:3" x14ac:dyDescent="0.25">
      <c r="C749" s="4"/>
    </row>
    <row r="750" spans="3:3" x14ac:dyDescent="0.25">
      <c r="C750" s="4"/>
    </row>
    <row r="751" spans="3:3" x14ac:dyDescent="0.25">
      <c r="C751" s="4"/>
    </row>
    <row r="752" spans="3:3" x14ac:dyDescent="0.25">
      <c r="C752" s="4"/>
    </row>
    <row r="753" spans="3:3" x14ac:dyDescent="0.25">
      <c r="C753" s="4"/>
    </row>
    <row r="754" spans="3:3" x14ac:dyDescent="0.25">
      <c r="C754" s="4"/>
    </row>
    <row r="755" spans="3:3" x14ac:dyDescent="0.25">
      <c r="C755" s="4"/>
    </row>
    <row r="756" spans="3:3" x14ac:dyDescent="0.25">
      <c r="C756" s="4"/>
    </row>
    <row r="757" spans="3:3" x14ac:dyDescent="0.25">
      <c r="C757" s="4"/>
    </row>
    <row r="758" spans="3:3" x14ac:dyDescent="0.25">
      <c r="C758" s="4"/>
    </row>
    <row r="759" spans="3:3" x14ac:dyDescent="0.25">
      <c r="C759" s="4"/>
    </row>
    <row r="760" spans="3:3" x14ac:dyDescent="0.25">
      <c r="C760" s="4"/>
    </row>
    <row r="761" spans="3:3" x14ac:dyDescent="0.25">
      <c r="C761" s="4"/>
    </row>
    <row r="762" spans="3:3" x14ac:dyDescent="0.25">
      <c r="C762" s="4"/>
    </row>
    <row r="763" spans="3:3" x14ac:dyDescent="0.25">
      <c r="C763" s="4"/>
    </row>
    <row r="764" spans="3:3" x14ac:dyDescent="0.25">
      <c r="C764" s="4"/>
    </row>
    <row r="765" spans="3:3" x14ac:dyDescent="0.25">
      <c r="C765" s="4"/>
    </row>
    <row r="766" spans="3:3" x14ac:dyDescent="0.25">
      <c r="C766" s="4"/>
    </row>
    <row r="767" spans="3:3" x14ac:dyDescent="0.25">
      <c r="C767" s="4"/>
    </row>
    <row r="768" spans="3:3" x14ac:dyDescent="0.25">
      <c r="C768" s="4"/>
    </row>
    <row r="769" spans="3:3" x14ac:dyDescent="0.25">
      <c r="C769" s="4"/>
    </row>
    <row r="770" spans="3:3" x14ac:dyDescent="0.25">
      <c r="C770" s="4"/>
    </row>
    <row r="771" spans="3:3" x14ac:dyDescent="0.25">
      <c r="C771" s="4"/>
    </row>
    <row r="772" spans="3:3" x14ac:dyDescent="0.25">
      <c r="C772" s="4"/>
    </row>
    <row r="773" spans="3:3" x14ac:dyDescent="0.25">
      <c r="C773" s="4"/>
    </row>
    <row r="774" spans="3:3" x14ac:dyDescent="0.25">
      <c r="C774" s="4"/>
    </row>
    <row r="775" spans="3:3" x14ac:dyDescent="0.25">
      <c r="C775" s="4"/>
    </row>
    <row r="776" spans="3:3" x14ac:dyDescent="0.25">
      <c r="C776" s="4"/>
    </row>
    <row r="777" spans="3:3" x14ac:dyDescent="0.25">
      <c r="C777" s="4"/>
    </row>
    <row r="778" spans="3:3" x14ac:dyDescent="0.25">
      <c r="C778" s="4"/>
    </row>
    <row r="779" spans="3:3" x14ac:dyDescent="0.25">
      <c r="C779" s="4"/>
    </row>
    <row r="780" spans="3:3" x14ac:dyDescent="0.25">
      <c r="C780" s="4"/>
    </row>
    <row r="781" spans="3:3" x14ac:dyDescent="0.25">
      <c r="C781" s="4"/>
    </row>
    <row r="782" spans="3:3" x14ac:dyDescent="0.25">
      <c r="C782" s="4"/>
    </row>
    <row r="783" spans="3:3" x14ac:dyDescent="0.25">
      <c r="C783" s="4"/>
    </row>
    <row r="784" spans="3:3" x14ac:dyDescent="0.25">
      <c r="C784" s="4"/>
    </row>
    <row r="785" spans="3:3" x14ac:dyDescent="0.25">
      <c r="C785" s="4"/>
    </row>
    <row r="786" spans="3:3" x14ac:dyDescent="0.25">
      <c r="C786" s="4"/>
    </row>
    <row r="787" spans="3:3" x14ac:dyDescent="0.25">
      <c r="C787" s="4"/>
    </row>
    <row r="788" spans="3:3" x14ac:dyDescent="0.25">
      <c r="C788" s="4"/>
    </row>
    <row r="789" spans="3:3" x14ac:dyDescent="0.25">
      <c r="C789" s="4"/>
    </row>
    <row r="790" spans="3:3" x14ac:dyDescent="0.25">
      <c r="C790" s="4"/>
    </row>
    <row r="791" spans="3:3" x14ac:dyDescent="0.25">
      <c r="C791" s="4"/>
    </row>
    <row r="792" spans="3:3" x14ac:dyDescent="0.25">
      <c r="C792" s="4"/>
    </row>
    <row r="793" spans="3:3" x14ac:dyDescent="0.25">
      <c r="C793" s="4"/>
    </row>
    <row r="794" spans="3:3" x14ac:dyDescent="0.25">
      <c r="C794" s="4"/>
    </row>
    <row r="795" spans="3:3" x14ac:dyDescent="0.25">
      <c r="C795" s="4"/>
    </row>
    <row r="796" spans="3:3" x14ac:dyDescent="0.25">
      <c r="C796" s="4"/>
    </row>
    <row r="797" spans="3:3" x14ac:dyDescent="0.25">
      <c r="C797" s="4"/>
    </row>
    <row r="798" spans="3:3" x14ac:dyDescent="0.25">
      <c r="C798" s="4"/>
    </row>
    <row r="799" spans="3:3" x14ac:dyDescent="0.25">
      <c r="C799" s="4"/>
    </row>
    <row r="800" spans="3:3" x14ac:dyDescent="0.25">
      <c r="C800" s="4"/>
    </row>
    <row r="801" spans="3:3" x14ac:dyDescent="0.25">
      <c r="C801" s="4"/>
    </row>
    <row r="802" spans="3:3" x14ac:dyDescent="0.25">
      <c r="C802" s="4"/>
    </row>
    <row r="803" spans="3:3" x14ac:dyDescent="0.25">
      <c r="C803" s="4"/>
    </row>
    <row r="804" spans="3:3" x14ac:dyDescent="0.25">
      <c r="C804" s="4"/>
    </row>
    <row r="805" spans="3:3" x14ac:dyDescent="0.25">
      <c r="C805" s="4"/>
    </row>
    <row r="806" spans="3:3" x14ac:dyDescent="0.25">
      <c r="C806" s="4"/>
    </row>
    <row r="807" spans="3:3" x14ac:dyDescent="0.25">
      <c r="C807" s="4"/>
    </row>
    <row r="808" spans="3:3" x14ac:dyDescent="0.25">
      <c r="C808" s="4"/>
    </row>
    <row r="809" spans="3:3" x14ac:dyDescent="0.25">
      <c r="C809" s="4"/>
    </row>
    <row r="810" spans="3:3" x14ac:dyDescent="0.25">
      <c r="C810" s="4"/>
    </row>
    <row r="811" spans="3:3" x14ac:dyDescent="0.25">
      <c r="C811" s="4"/>
    </row>
    <row r="812" spans="3:3" x14ac:dyDescent="0.25">
      <c r="C812" s="4"/>
    </row>
    <row r="813" spans="3:3" x14ac:dyDescent="0.25">
      <c r="C813" s="4"/>
    </row>
    <row r="814" spans="3:3" x14ac:dyDescent="0.25">
      <c r="C814" s="4"/>
    </row>
    <row r="815" spans="3:3" x14ac:dyDescent="0.25">
      <c r="C815" s="4"/>
    </row>
    <row r="816" spans="3:3" x14ac:dyDescent="0.25">
      <c r="C816" s="4"/>
    </row>
    <row r="817" spans="3:3" x14ac:dyDescent="0.25">
      <c r="C817" s="4"/>
    </row>
    <row r="818" spans="3:3" x14ac:dyDescent="0.25">
      <c r="C818" s="4"/>
    </row>
    <row r="819" spans="3:3" x14ac:dyDescent="0.25">
      <c r="C819" s="4"/>
    </row>
    <row r="820" spans="3:3" x14ac:dyDescent="0.25">
      <c r="C820" s="4"/>
    </row>
    <row r="821" spans="3:3" x14ac:dyDescent="0.25">
      <c r="C821" s="4"/>
    </row>
    <row r="822" spans="3:3" x14ac:dyDescent="0.25">
      <c r="C822" s="4"/>
    </row>
    <row r="823" spans="3:3" x14ac:dyDescent="0.25">
      <c r="C823" s="4"/>
    </row>
    <row r="824" spans="3:3" x14ac:dyDescent="0.25">
      <c r="C824" s="4"/>
    </row>
    <row r="825" spans="3:3" x14ac:dyDescent="0.25">
      <c r="C825" s="4"/>
    </row>
    <row r="826" spans="3:3" x14ac:dyDescent="0.25">
      <c r="C826" s="4"/>
    </row>
    <row r="827" spans="3:3" x14ac:dyDescent="0.25">
      <c r="C827" s="4"/>
    </row>
    <row r="828" spans="3:3" x14ac:dyDescent="0.25">
      <c r="C828" s="4"/>
    </row>
    <row r="829" spans="3:3" x14ac:dyDescent="0.25">
      <c r="C829" s="4"/>
    </row>
    <row r="830" spans="3:3" x14ac:dyDescent="0.25">
      <c r="C830" s="4"/>
    </row>
    <row r="831" spans="3:3" x14ac:dyDescent="0.25">
      <c r="C831" s="4"/>
    </row>
    <row r="832" spans="3:3" x14ac:dyDescent="0.25">
      <c r="C832" s="4"/>
    </row>
    <row r="833" spans="3:3" x14ac:dyDescent="0.25">
      <c r="C833" s="4"/>
    </row>
    <row r="834" spans="3:3" x14ac:dyDescent="0.25">
      <c r="C834" s="4"/>
    </row>
    <row r="835" spans="3:3" x14ac:dyDescent="0.25">
      <c r="C835" s="4"/>
    </row>
    <row r="836" spans="3:3" x14ac:dyDescent="0.25">
      <c r="C836" s="4"/>
    </row>
    <row r="837" spans="3:3" x14ac:dyDescent="0.25">
      <c r="C837" s="4"/>
    </row>
    <row r="838" spans="3:3" x14ac:dyDescent="0.25">
      <c r="C838" s="4"/>
    </row>
    <row r="839" spans="3:3" x14ac:dyDescent="0.25">
      <c r="C839" s="4"/>
    </row>
    <row r="840" spans="3:3" x14ac:dyDescent="0.25">
      <c r="C840" s="4"/>
    </row>
    <row r="841" spans="3:3" x14ac:dyDescent="0.25">
      <c r="C841" s="4"/>
    </row>
    <row r="842" spans="3:3" x14ac:dyDescent="0.25">
      <c r="C842" s="4"/>
    </row>
    <row r="843" spans="3:3" x14ac:dyDescent="0.25">
      <c r="C843" s="4"/>
    </row>
    <row r="844" spans="3:3" x14ac:dyDescent="0.25">
      <c r="C844" s="4"/>
    </row>
    <row r="845" spans="3:3" x14ac:dyDescent="0.25">
      <c r="C845" s="4"/>
    </row>
    <row r="846" spans="3:3" x14ac:dyDescent="0.25">
      <c r="C846" s="4"/>
    </row>
    <row r="847" spans="3:3" x14ac:dyDescent="0.25">
      <c r="C847" s="4"/>
    </row>
    <row r="848" spans="3:3" x14ac:dyDescent="0.25">
      <c r="C848" s="4"/>
    </row>
    <row r="849" spans="3:3" x14ac:dyDescent="0.25">
      <c r="C849" s="4"/>
    </row>
    <row r="850" spans="3:3" x14ac:dyDescent="0.25">
      <c r="C850" s="4"/>
    </row>
    <row r="851" spans="3:3" x14ac:dyDescent="0.25">
      <c r="C851" s="4"/>
    </row>
    <row r="852" spans="3:3" x14ac:dyDescent="0.25">
      <c r="C852" s="4"/>
    </row>
    <row r="853" spans="3:3" x14ac:dyDescent="0.25">
      <c r="C853" s="4"/>
    </row>
    <row r="854" spans="3:3" x14ac:dyDescent="0.25">
      <c r="C854" s="4"/>
    </row>
    <row r="855" spans="3:3" x14ac:dyDescent="0.25">
      <c r="C855" s="4"/>
    </row>
    <row r="856" spans="3:3" x14ac:dyDescent="0.25">
      <c r="C856" s="4"/>
    </row>
    <row r="857" spans="3:3" x14ac:dyDescent="0.25">
      <c r="C857" s="4"/>
    </row>
    <row r="858" spans="3:3" x14ac:dyDescent="0.25">
      <c r="C858" s="4"/>
    </row>
    <row r="859" spans="3:3" x14ac:dyDescent="0.25">
      <c r="C859" s="4"/>
    </row>
    <row r="860" spans="3:3" x14ac:dyDescent="0.25">
      <c r="C860" s="4"/>
    </row>
    <row r="861" spans="3:3" x14ac:dyDescent="0.25">
      <c r="C861" s="4"/>
    </row>
    <row r="862" spans="3:3" x14ac:dyDescent="0.25">
      <c r="C862" s="4"/>
    </row>
    <row r="863" spans="3:3" x14ac:dyDescent="0.25">
      <c r="C863" s="4"/>
    </row>
    <row r="864" spans="3:3" x14ac:dyDescent="0.25">
      <c r="C864" s="4"/>
    </row>
    <row r="865" spans="3:3" x14ac:dyDescent="0.25">
      <c r="C865" s="4"/>
    </row>
    <row r="866" spans="3:3" x14ac:dyDescent="0.25">
      <c r="C866" s="4"/>
    </row>
    <row r="867" spans="3:3" x14ac:dyDescent="0.25">
      <c r="C867" s="4"/>
    </row>
    <row r="868" spans="3:3" x14ac:dyDescent="0.25">
      <c r="C868" s="4"/>
    </row>
    <row r="869" spans="3:3" x14ac:dyDescent="0.25">
      <c r="C869" s="4"/>
    </row>
    <row r="870" spans="3:3" x14ac:dyDescent="0.25">
      <c r="C870" s="4"/>
    </row>
    <row r="871" spans="3:3" x14ac:dyDescent="0.25">
      <c r="C871" s="4"/>
    </row>
    <row r="872" spans="3:3" x14ac:dyDescent="0.25">
      <c r="C872" s="4"/>
    </row>
    <row r="873" spans="3:3" x14ac:dyDescent="0.25">
      <c r="C873" s="4"/>
    </row>
    <row r="874" spans="3:3" x14ac:dyDescent="0.25">
      <c r="C874" s="4"/>
    </row>
    <row r="875" spans="3:3" x14ac:dyDescent="0.25">
      <c r="C875" s="4"/>
    </row>
    <row r="876" spans="3:3" x14ac:dyDescent="0.25">
      <c r="C876" s="4"/>
    </row>
    <row r="877" spans="3:3" x14ac:dyDescent="0.25">
      <c r="C877" s="4"/>
    </row>
    <row r="878" spans="3:3" x14ac:dyDescent="0.25">
      <c r="C878" s="4"/>
    </row>
    <row r="879" spans="3:3" x14ac:dyDescent="0.25">
      <c r="C879" s="4"/>
    </row>
    <row r="880" spans="3:3" x14ac:dyDescent="0.25">
      <c r="C880" s="4"/>
    </row>
    <row r="881" spans="3:3" x14ac:dyDescent="0.25">
      <c r="C881" s="4"/>
    </row>
    <row r="882" spans="3:3" x14ac:dyDescent="0.25">
      <c r="C882" s="4"/>
    </row>
    <row r="883" spans="3:3" x14ac:dyDescent="0.25">
      <c r="C883" s="4"/>
    </row>
    <row r="884" spans="3:3" x14ac:dyDescent="0.25">
      <c r="C884" s="4"/>
    </row>
    <row r="885" spans="3:3" x14ac:dyDescent="0.25">
      <c r="C885" s="4"/>
    </row>
    <row r="886" spans="3:3" x14ac:dyDescent="0.25">
      <c r="C886" s="4"/>
    </row>
    <row r="887" spans="3:3" x14ac:dyDescent="0.25">
      <c r="C887" s="4"/>
    </row>
    <row r="888" spans="3:3" x14ac:dyDescent="0.25">
      <c r="C888" s="4"/>
    </row>
    <row r="889" spans="3:3" x14ac:dyDescent="0.25">
      <c r="C889" s="4"/>
    </row>
    <row r="890" spans="3:3" x14ac:dyDescent="0.25">
      <c r="C890" s="4"/>
    </row>
    <row r="891" spans="3:3" x14ac:dyDescent="0.25">
      <c r="C891" s="4"/>
    </row>
    <row r="892" spans="3:3" x14ac:dyDescent="0.25">
      <c r="C892" s="4"/>
    </row>
    <row r="893" spans="3:3" x14ac:dyDescent="0.25">
      <c r="C893" s="4"/>
    </row>
    <row r="894" spans="3:3" x14ac:dyDescent="0.25">
      <c r="C894" s="4"/>
    </row>
    <row r="895" spans="3:3" x14ac:dyDescent="0.25">
      <c r="C895" s="4"/>
    </row>
    <row r="896" spans="3:3" x14ac:dyDescent="0.25">
      <c r="C896" s="4"/>
    </row>
    <row r="897" spans="3:3" x14ac:dyDescent="0.25">
      <c r="C897" s="4"/>
    </row>
    <row r="898" spans="3:3" x14ac:dyDescent="0.25">
      <c r="C898" s="4"/>
    </row>
    <row r="899" spans="3:3" x14ac:dyDescent="0.25">
      <c r="C899" s="4"/>
    </row>
    <row r="900" spans="3:3" x14ac:dyDescent="0.25">
      <c r="C900" s="4"/>
    </row>
    <row r="901" spans="3:3" x14ac:dyDescent="0.25">
      <c r="C901" s="4"/>
    </row>
    <row r="902" spans="3:3" x14ac:dyDescent="0.25">
      <c r="C902" s="4"/>
    </row>
    <row r="903" spans="3:3" x14ac:dyDescent="0.25">
      <c r="C903" s="4"/>
    </row>
    <row r="904" spans="3:3" x14ac:dyDescent="0.25">
      <c r="C904" s="4"/>
    </row>
    <row r="905" spans="3:3" x14ac:dyDescent="0.25">
      <c r="C905" s="4"/>
    </row>
    <row r="906" spans="3:3" x14ac:dyDescent="0.25">
      <c r="C906" s="4"/>
    </row>
    <row r="907" spans="3:3" x14ac:dyDescent="0.25">
      <c r="C907" s="4"/>
    </row>
    <row r="908" spans="3:3" x14ac:dyDescent="0.25">
      <c r="C908" s="4"/>
    </row>
    <row r="909" spans="3:3" x14ac:dyDescent="0.25">
      <c r="C909" s="4"/>
    </row>
    <row r="910" spans="3:3" x14ac:dyDescent="0.25">
      <c r="C910" s="4"/>
    </row>
    <row r="911" spans="3:3" x14ac:dyDescent="0.25">
      <c r="C911" s="4"/>
    </row>
    <row r="912" spans="3:3" x14ac:dyDescent="0.25">
      <c r="C912" s="4"/>
    </row>
    <row r="913" spans="3:3" x14ac:dyDescent="0.25">
      <c r="C913" s="4"/>
    </row>
    <row r="914" spans="3:3" x14ac:dyDescent="0.25">
      <c r="C914" s="4"/>
    </row>
    <row r="915" spans="3:3" x14ac:dyDescent="0.25">
      <c r="C915" s="4"/>
    </row>
    <row r="916" spans="3:3" x14ac:dyDescent="0.25">
      <c r="C916" s="4"/>
    </row>
    <row r="917" spans="3:3" x14ac:dyDescent="0.25">
      <c r="C917" s="4"/>
    </row>
    <row r="918" spans="3:3" x14ac:dyDescent="0.25">
      <c r="C918" s="4"/>
    </row>
    <row r="919" spans="3:3" x14ac:dyDescent="0.25">
      <c r="C919" s="4"/>
    </row>
    <row r="920" spans="3:3" x14ac:dyDescent="0.25">
      <c r="C920" s="4"/>
    </row>
    <row r="921" spans="3:3" x14ac:dyDescent="0.25">
      <c r="C921" s="4"/>
    </row>
    <row r="922" spans="3:3" x14ac:dyDescent="0.25">
      <c r="C922" s="4"/>
    </row>
    <row r="923" spans="3:3" x14ac:dyDescent="0.25">
      <c r="C923" s="4"/>
    </row>
    <row r="924" spans="3:3" x14ac:dyDescent="0.25">
      <c r="C924" s="4"/>
    </row>
    <row r="925" spans="3:3" x14ac:dyDescent="0.25">
      <c r="C925" s="4"/>
    </row>
    <row r="926" spans="3:3" x14ac:dyDescent="0.25">
      <c r="C926" s="4"/>
    </row>
    <row r="927" spans="3:3" x14ac:dyDescent="0.25">
      <c r="C927" s="4"/>
    </row>
    <row r="928" spans="3:3" x14ac:dyDescent="0.25">
      <c r="C928" s="4"/>
    </row>
    <row r="929" spans="3:3" x14ac:dyDescent="0.25">
      <c r="C929" s="4"/>
    </row>
    <row r="930" spans="3:3" x14ac:dyDescent="0.25">
      <c r="C930" s="4"/>
    </row>
    <row r="931" spans="3:3" x14ac:dyDescent="0.25">
      <c r="C931" s="4"/>
    </row>
    <row r="932" spans="3:3" x14ac:dyDescent="0.25">
      <c r="C932" s="4"/>
    </row>
    <row r="933" spans="3:3" x14ac:dyDescent="0.25">
      <c r="C933" s="4"/>
    </row>
    <row r="934" spans="3:3" x14ac:dyDescent="0.25">
      <c r="C934" s="4"/>
    </row>
    <row r="935" spans="3:3" x14ac:dyDescent="0.25">
      <c r="C935" s="4"/>
    </row>
    <row r="936" spans="3:3" x14ac:dyDescent="0.25">
      <c r="C936" s="4"/>
    </row>
    <row r="937" spans="3:3" x14ac:dyDescent="0.25">
      <c r="C937" s="4"/>
    </row>
    <row r="938" spans="3:3" x14ac:dyDescent="0.25">
      <c r="C938" s="4"/>
    </row>
    <row r="939" spans="3:3" x14ac:dyDescent="0.25">
      <c r="C939" s="4"/>
    </row>
    <row r="940" spans="3:3" x14ac:dyDescent="0.25">
      <c r="C940" s="4"/>
    </row>
    <row r="941" spans="3:3" x14ac:dyDescent="0.25">
      <c r="C941" s="4"/>
    </row>
    <row r="942" spans="3:3" x14ac:dyDescent="0.25">
      <c r="C942" s="4"/>
    </row>
    <row r="943" spans="3:3" x14ac:dyDescent="0.25">
      <c r="C943" s="4"/>
    </row>
    <row r="944" spans="3:3" x14ac:dyDescent="0.25">
      <c r="C944" s="4"/>
    </row>
    <row r="945" spans="3:3" x14ac:dyDescent="0.25">
      <c r="C945" s="4"/>
    </row>
    <row r="946" spans="3:3" x14ac:dyDescent="0.25">
      <c r="C946" s="4"/>
    </row>
    <row r="947" spans="3:3" x14ac:dyDescent="0.25">
      <c r="C947" s="4"/>
    </row>
    <row r="948" spans="3:3" x14ac:dyDescent="0.25">
      <c r="C948" s="4"/>
    </row>
    <row r="949" spans="3:3" x14ac:dyDescent="0.25">
      <c r="C949" s="4"/>
    </row>
    <row r="950" spans="3:3" x14ac:dyDescent="0.25">
      <c r="C950" s="4"/>
    </row>
    <row r="951" spans="3:3" x14ac:dyDescent="0.25">
      <c r="C951" s="4"/>
    </row>
    <row r="952" spans="3:3" x14ac:dyDescent="0.25">
      <c r="C952" s="4"/>
    </row>
    <row r="953" spans="3:3" x14ac:dyDescent="0.25">
      <c r="C953" s="4"/>
    </row>
    <row r="954" spans="3:3" x14ac:dyDescent="0.25">
      <c r="C954" s="4"/>
    </row>
    <row r="955" spans="3:3" x14ac:dyDescent="0.25">
      <c r="C955" s="4"/>
    </row>
    <row r="956" spans="3:3" x14ac:dyDescent="0.25">
      <c r="C956" s="4"/>
    </row>
    <row r="957" spans="3:3" x14ac:dyDescent="0.25">
      <c r="C957" s="4"/>
    </row>
    <row r="958" spans="3:3" x14ac:dyDescent="0.25">
      <c r="C958" s="4"/>
    </row>
    <row r="959" spans="3:3" x14ac:dyDescent="0.25">
      <c r="C959" s="4"/>
    </row>
    <row r="960" spans="3:3" x14ac:dyDescent="0.25">
      <c r="C960" s="4"/>
    </row>
    <row r="961" spans="3:3" x14ac:dyDescent="0.25">
      <c r="C961" s="4"/>
    </row>
    <row r="962" spans="3:3" x14ac:dyDescent="0.25">
      <c r="C962" s="4"/>
    </row>
    <row r="963" spans="3:3" x14ac:dyDescent="0.25">
      <c r="C963" s="4"/>
    </row>
    <row r="964" spans="3:3" x14ac:dyDescent="0.25">
      <c r="C964" s="4"/>
    </row>
    <row r="965" spans="3:3" x14ac:dyDescent="0.25">
      <c r="C965" s="4"/>
    </row>
    <row r="966" spans="3:3" x14ac:dyDescent="0.25">
      <c r="C966" s="4"/>
    </row>
    <row r="967" spans="3:3" x14ac:dyDescent="0.25">
      <c r="C967" s="4"/>
    </row>
    <row r="968" spans="3:3" x14ac:dyDescent="0.25">
      <c r="C968" s="4"/>
    </row>
    <row r="969" spans="3:3" x14ac:dyDescent="0.25">
      <c r="C969" s="4"/>
    </row>
    <row r="970" spans="3:3" x14ac:dyDescent="0.25">
      <c r="C970" s="4"/>
    </row>
    <row r="971" spans="3:3" x14ac:dyDescent="0.25">
      <c r="C971" s="4"/>
    </row>
    <row r="972" spans="3:3" x14ac:dyDescent="0.25">
      <c r="C972" s="4"/>
    </row>
    <row r="973" spans="3:3" x14ac:dyDescent="0.25">
      <c r="C973" s="4"/>
    </row>
    <row r="974" spans="3:3" x14ac:dyDescent="0.25">
      <c r="C974" s="4"/>
    </row>
    <row r="975" spans="3:3" x14ac:dyDescent="0.25">
      <c r="C975" s="4"/>
    </row>
    <row r="976" spans="3:3" x14ac:dyDescent="0.25">
      <c r="C976" s="4"/>
    </row>
    <row r="977" spans="3:3" x14ac:dyDescent="0.25">
      <c r="C977" s="4"/>
    </row>
    <row r="978" spans="3:3" x14ac:dyDescent="0.25">
      <c r="C978" s="4"/>
    </row>
    <row r="979" spans="3:3" x14ac:dyDescent="0.25">
      <c r="C979" s="4"/>
    </row>
    <row r="980" spans="3:3" x14ac:dyDescent="0.25">
      <c r="C980" s="4"/>
    </row>
    <row r="981" spans="3:3" x14ac:dyDescent="0.25">
      <c r="C981" s="4"/>
    </row>
    <row r="982" spans="3:3" x14ac:dyDescent="0.25">
      <c r="C982" s="4"/>
    </row>
    <row r="983" spans="3:3" x14ac:dyDescent="0.25">
      <c r="C983" s="4"/>
    </row>
    <row r="984" spans="3:3" x14ac:dyDescent="0.25">
      <c r="C984" s="4"/>
    </row>
    <row r="985" spans="3:3" x14ac:dyDescent="0.25">
      <c r="C985" s="4"/>
    </row>
    <row r="986" spans="3:3" x14ac:dyDescent="0.25">
      <c r="C986" s="4"/>
    </row>
    <row r="987" spans="3:3" x14ac:dyDescent="0.25">
      <c r="C987" s="4"/>
    </row>
    <row r="988" spans="3:3" x14ac:dyDescent="0.25">
      <c r="C988" s="4"/>
    </row>
    <row r="989" spans="3:3" x14ac:dyDescent="0.25">
      <c r="C989" s="4"/>
    </row>
    <row r="990" spans="3:3" x14ac:dyDescent="0.25">
      <c r="C990" s="4"/>
    </row>
    <row r="991" spans="3:3" x14ac:dyDescent="0.25">
      <c r="C991" s="4"/>
    </row>
    <row r="992" spans="3:3" x14ac:dyDescent="0.25">
      <c r="C992" s="4"/>
    </row>
    <row r="993" spans="3:3" x14ac:dyDescent="0.25">
      <c r="C993" s="4"/>
    </row>
    <row r="994" spans="3:3" x14ac:dyDescent="0.25">
      <c r="C994" s="4"/>
    </row>
    <row r="995" spans="3:3" x14ac:dyDescent="0.25">
      <c r="C995" s="4"/>
    </row>
    <row r="996" spans="3:3" x14ac:dyDescent="0.25">
      <c r="C996" s="4"/>
    </row>
    <row r="997" spans="3:3" x14ac:dyDescent="0.25">
      <c r="C997" s="4"/>
    </row>
    <row r="998" spans="3:3" x14ac:dyDescent="0.25">
      <c r="C998" s="4"/>
    </row>
    <row r="999" spans="3:3" x14ac:dyDescent="0.25">
      <c r="C999" s="4"/>
    </row>
    <row r="1000" spans="3:3" x14ac:dyDescent="0.25">
      <c r="C1000" s="4"/>
    </row>
    <row r="1001" spans="3:3" x14ac:dyDescent="0.25">
      <c r="C1001" s="4"/>
    </row>
    <row r="1002" spans="3:3" x14ac:dyDescent="0.25">
      <c r="C1002" s="4"/>
    </row>
    <row r="1003" spans="3:3" x14ac:dyDescent="0.25">
      <c r="C1003" s="4"/>
    </row>
    <row r="1004" spans="3:3" x14ac:dyDescent="0.25">
      <c r="C1004" s="4"/>
    </row>
    <row r="1005" spans="3:3" x14ac:dyDescent="0.25">
      <c r="C1005" s="4"/>
    </row>
    <row r="1006" spans="3:3" x14ac:dyDescent="0.25">
      <c r="C1006" s="4"/>
    </row>
    <row r="1007" spans="3:3" x14ac:dyDescent="0.25">
      <c r="C1007" s="4"/>
    </row>
    <row r="1008" spans="3:3" x14ac:dyDescent="0.25">
      <c r="C1008" s="4"/>
    </row>
    <row r="1009" spans="3:3" x14ac:dyDescent="0.25">
      <c r="C1009" s="4"/>
    </row>
    <row r="1010" spans="3:3" x14ac:dyDescent="0.25">
      <c r="C1010" s="4"/>
    </row>
    <row r="1011" spans="3:3" x14ac:dyDescent="0.25">
      <c r="C1011" s="4"/>
    </row>
    <row r="1012" spans="3:3" x14ac:dyDescent="0.25">
      <c r="C1012" s="4"/>
    </row>
    <row r="1013" spans="3:3" x14ac:dyDescent="0.25">
      <c r="C1013" s="4"/>
    </row>
    <row r="1014" spans="3:3" x14ac:dyDescent="0.25">
      <c r="C1014" s="4"/>
    </row>
    <row r="1015" spans="3:3" x14ac:dyDescent="0.25">
      <c r="C1015" s="4"/>
    </row>
    <row r="1016" spans="3:3" x14ac:dyDescent="0.25">
      <c r="C1016" s="4"/>
    </row>
    <row r="1017" spans="3:3" x14ac:dyDescent="0.25">
      <c r="C1017" s="4"/>
    </row>
    <row r="1018" spans="3:3" x14ac:dyDescent="0.25">
      <c r="C1018" s="4"/>
    </row>
    <row r="1019" spans="3:3" x14ac:dyDescent="0.25">
      <c r="C1019" s="4"/>
    </row>
    <row r="1020" spans="3:3" x14ac:dyDescent="0.25">
      <c r="C1020" s="4"/>
    </row>
    <row r="1021" spans="3:3" x14ac:dyDescent="0.25">
      <c r="C1021" s="4"/>
    </row>
    <row r="1022" spans="3:3" x14ac:dyDescent="0.25">
      <c r="C1022" s="4"/>
    </row>
    <row r="1023" spans="3:3" x14ac:dyDescent="0.25">
      <c r="C1023" s="4"/>
    </row>
    <row r="1024" spans="3:3" x14ac:dyDescent="0.25">
      <c r="C1024" s="4"/>
    </row>
    <row r="1025" spans="3:3" x14ac:dyDescent="0.25">
      <c r="C1025" s="4"/>
    </row>
    <row r="1026" spans="3:3" x14ac:dyDescent="0.25">
      <c r="C1026" s="4"/>
    </row>
    <row r="1027" spans="3:3" x14ac:dyDescent="0.25">
      <c r="C1027" s="4"/>
    </row>
    <row r="1028" spans="3:3" x14ac:dyDescent="0.25">
      <c r="C1028" s="4"/>
    </row>
    <row r="1029" spans="3:3" x14ac:dyDescent="0.25">
      <c r="C1029" s="4"/>
    </row>
  </sheetData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EB25E63-7BBA-41CA-9369-4BFE40F13424}">
          <x14:formula1>
            <xm:f>TickerList!$A:$A</xm:f>
          </x14:formula1>
          <xm:sqref>C3:C7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4E94E-A1AA-47FC-BE6F-5EF0F4125F57}">
  <sheetPr codeName="Sheet3"/>
  <dimension ref="A1:F251"/>
  <sheetViews>
    <sheetView workbookViewId="0">
      <selection activeCell="C19" sqref="C19"/>
    </sheetView>
  </sheetViews>
  <sheetFormatPr defaultRowHeight="15" x14ac:dyDescent="0.25"/>
  <cols>
    <col min="1" max="1" width="8.5703125" bestFit="1" customWidth="1"/>
    <col min="2" max="2" width="11.140625" bestFit="1" customWidth="1"/>
    <col min="3" max="3" width="17.140625" bestFit="1" customWidth="1"/>
    <col min="4" max="4" width="10.42578125" bestFit="1" customWidth="1"/>
    <col min="5" max="5" width="16.85546875" bestFit="1" customWidth="1"/>
    <col min="6" max="6" width="12.7109375" bestFit="1" customWidth="1"/>
    <col min="7" max="7" width="30.28515625" bestFit="1" customWidth="1"/>
    <col min="8" max="8" width="10.42578125" bestFit="1" customWidth="1"/>
    <col min="9" max="9" width="17.140625" bestFit="1" customWidth="1"/>
  </cols>
  <sheetData>
    <row r="1" spans="1:6" x14ac:dyDescent="0.25">
      <c r="A1" t="s">
        <v>0</v>
      </c>
      <c r="B1" t="s">
        <v>1</v>
      </c>
      <c r="C1" t="s">
        <v>3</v>
      </c>
      <c r="D1" t="s">
        <v>2</v>
      </c>
      <c r="E1" t="s">
        <v>357</v>
      </c>
      <c r="F1" t="s">
        <v>360</v>
      </c>
    </row>
    <row r="2" spans="1:6" x14ac:dyDescent="0.25">
      <c r="A2" t="s">
        <v>255</v>
      </c>
      <c r="B2" t="s">
        <v>256</v>
      </c>
      <c r="C2" s="2">
        <v>-6.060333107592691E-3</v>
      </c>
      <c r="D2" s="2" t="s">
        <v>5</v>
      </c>
      <c r="E2" s="4">
        <f>IF(LEN(Table_Query_from_sql1[[#This Row],[Date]])&gt;0,DATE(LEFT(Table_Query_from_sql1[[#This Row],[Date]],4),MID(Table_Query_from_sql1[[#This Row],[Date]],6,2),RIGHT(Table_Query_from_sql1[[#This Row],[Date]],2)),"")</f>
        <v>43202</v>
      </c>
      <c r="F2" t="str">
        <f>Table_Query_from_sql1[[#This Row],[DateFormatted]]&amp;Table_Query_from_sql1[[#This Row],[Ticker]]</f>
        <v>43202ABBV</v>
      </c>
    </row>
    <row r="3" spans="1:6" x14ac:dyDescent="0.25">
      <c r="A3" t="s">
        <v>255</v>
      </c>
      <c r="B3" t="s">
        <v>256</v>
      </c>
      <c r="C3" s="2">
        <v>-3.1531623460044739E-3</v>
      </c>
      <c r="D3" s="2" t="s">
        <v>6</v>
      </c>
      <c r="E3" s="4">
        <f>IF(LEN(Table_Query_from_sql1[[#This Row],[Date]])&gt;0,DATE(LEFT(Table_Query_from_sql1[[#This Row],[Date]],4),MID(Table_Query_from_sql1[[#This Row],[Date]],6,2),RIGHT(Table_Query_from_sql1[[#This Row],[Date]],2)),"")</f>
        <v>43203</v>
      </c>
      <c r="F3" t="str">
        <f>Table_Query_from_sql1[[#This Row],[DateFormatted]]&amp;Table_Query_from_sql1[[#This Row],[Ticker]]</f>
        <v>43203ABBV</v>
      </c>
    </row>
    <row r="4" spans="1:6" x14ac:dyDescent="0.25">
      <c r="A4" t="s">
        <v>255</v>
      </c>
      <c r="B4" t="s">
        <v>256</v>
      </c>
      <c r="C4" s="2">
        <v>8.3499789691409265E-3</v>
      </c>
      <c r="D4" s="2" t="s">
        <v>7</v>
      </c>
      <c r="E4" s="4">
        <f>IF(LEN(Table_Query_from_sql1[[#This Row],[Date]])&gt;0,DATE(LEFT(Table_Query_from_sql1[[#This Row],[Date]],4),MID(Table_Query_from_sql1[[#This Row],[Date]],6,2),RIGHT(Table_Query_from_sql1[[#This Row],[Date]],2)),"")</f>
        <v>43206</v>
      </c>
      <c r="F4" t="str">
        <f>Table_Query_from_sql1[[#This Row],[DateFormatted]]&amp;Table_Query_from_sql1[[#This Row],[Ticker]]</f>
        <v>43206ABBV</v>
      </c>
    </row>
    <row r="5" spans="1:6" x14ac:dyDescent="0.25">
      <c r="A5" t="s">
        <v>255</v>
      </c>
      <c r="B5" t="s">
        <v>256</v>
      </c>
      <c r="C5" s="2">
        <v>1.0634719082651168E-2</v>
      </c>
      <c r="D5" s="2" t="s">
        <v>8</v>
      </c>
      <c r="E5" s="4">
        <f>IF(LEN(Table_Query_from_sql1[[#This Row],[Date]])&gt;0,DATE(LEFT(Table_Query_from_sql1[[#This Row],[Date]],4),MID(Table_Query_from_sql1[[#This Row],[Date]],6,2),RIGHT(Table_Query_from_sql1[[#This Row],[Date]],2)),"")</f>
        <v>43207</v>
      </c>
      <c r="F5" s="3" t="str">
        <f>Table_Query_from_sql1[[#This Row],[DateFormatted]]&amp;Table_Query_from_sql1[[#This Row],[Ticker]]</f>
        <v>43207ABBV</v>
      </c>
    </row>
    <row r="6" spans="1:6" x14ac:dyDescent="0.25">
      <c r="A6" t="s">
        <v>255</v>
      </c>
      <c r="B6" t="s">
        <v>256</v>
      </c>
      <c r="C6" s="2">
        <v>7.7696160708419035E-3</v>
      </c>
      <c r="D6" s="2" t="s">
        <v>9</v>
      </c>
      <c r="E6" s="4">
        <f>IF(LEN(Table_Query_from_sql1[[#This Row],[Date]])&gt;0,DATE(LEFT(Table_Query_from_sql1[[#This Row],[Date]],4),MID(Table_Query_from_sql1[[#This Row],[Date]],6,2),RIGHT(Table_Query_from_sql1[[#This Row],[Date]],2)),"")</f>
        <v>43208</v>
      </c>
      <c r="F6" t="str">
        <f>Table_Query_from_sql1[[#This Row],[DateFormatted]]&amp;Table_Query_from_sql1[[#This Row],[Ticker]]</f>
        <v>43208ABBV</v>
      </c>
    </row>
    <row r="7" spans="1:6" x14ac:dyDescent="0.25">
      <c r="A7" t="s">
        <v>255</v>
      </c>
      <c r="B7" t="s">
        <v>256</v>
      </c>
      <c r="C7" s="2">
        <v>-1.3986396310291704E-2</v>
      </c>
      <c r="D7" s="2" t="s">
        <v>10</v>
      </c>
      <c r="E7" s="4">
        <f>IF(LEN(Table_Query_from_sql1[[#This Row],[Date]])&gt;0,DATE(LEFT(Table_Query_from_sql1[[#This Row],[Date]],4),MID(Table_Query_from_sql1[[#This Row],[Date]],6,2),RIGHT(Table_Query_from_sql1[[#This Row],[Date]],2)),"")</f>
        <v>43209</v>
      </c>
      <c r="F7" t="str">
        <f>Table_Query_from_sql1[[#This Row],[DateFormatted]]&amp;Table_Query_from_sql1[[#This Row],[Ticker]]</f>
        <v>43209ABBV</v>
      </c>
    </row>
    <row r="8" spans="1:6" x14ac:dyDescent="0.25">
      <c r="A8" t="s">
        <v>255</v>
      </c>
      <c r="B8" t="s">
        <v>256</v>
      </c>
      <c r="C8" s="2">
        <v>-4.417938843201321E-3</v>
      </c>
      <c r="D8" s="2" t="s">
        <v>11</v>
      </c>
      <c r="E8" s="4">
        <f>IF(LEN(Table_Query_from_sql1[[#This Row],[Date]])&gt;0,DATE(LEFT(Table_Query_from_sql1[[#This Row],[Date]],4),MID(Table_Query_from_sql1[[#This Row],[Date]],6,2),RIGHT(Table_Query_from_sql1[[#This Row],[Date]],2)),"")</f>
        <v>43210</v>
      </c>
      <c r="F8" t="str">
        <f>Table_Query_from_sql1[[#This Row],[DateFormatted]]&amp;Table_Query_from_sql1[[#This Row],[Ticker]]</f>
        <v>43210ABBV</v>
      </c>
    </row>
    <row r="9" spans="1:6" x14ac:dyDescent="0.25">
      <c r="A9" t="s">
        <v>255</v>
      </c>
      <c r="B9" t="s">
        <v>256</v>
      </c>
      <c r="C9" s="2">
        <v>6.136623517989266E-3</v>
      </c>
      <c r="D9" s="2" t="s">
        <v>12</v>
      </c>
      <c r="E9" s="4">
        <f>IF(LEN(Table_Query_from_sql1[[#This Row],[Date]])&gt;0,DATE(LEFT(Table_Query_from_sql1[[#This Row],[Date]],4),MID(Table_Query_from_sql1[[#This Row],[Date]],6,2),RIGHT(Table_Query_from_sql1[[#This Row],[Date]],2)),"")</f>
        <v>43213</v>
      </c>
      <c r="F9" t="str">
        <f>Table_Query_from_sql1[[#This Row],[DateFormatted]]&amp;Table_Query_from_sql1[[#This Row],[Ticker]]</f>
        <v>43213ABBV</v>
      </c>
    </row>
    <row r="10" spans="1:6" x14ac:dyDescent="0.25">
      <c r="A10" t="s">
        <v>255</v>
      </c>
      <c r="B10" t="s">
        <v>256</v>
      </c>
      <c r="C10" s="2">
        <v>-1.9618499142464878E-2</v>
      </c>
      <c r="D10" s="2" t="s">
        <v>13</v>
      </c>
      <c r="E10" s="4">
        <f>IF(LEN(Table_Query_from_sql1[[#This Row],[Date]])&gt;0,DATE(LEFT(Table_Query_from_sql1[[#This Row],[Date]],4),MID(Table_Query_from_sql1[[#This Row],[Date]],6,2),RIGHT(Table_Query_from_sql1[[#This Row],[Date]],2)),"")</f>
        <v>43214</v>
      </c>
      <c r="F10" t="str">
        <f>Table_Query_from_sql1[[#This Row],[DateFormatted]]&amp;Table_Query_from_sql1[[#This Row],[Ticker]]</f>
        <v>43214ABBV</v>
      </c>
    </row>
    <row r="11" spans="1:6" x14ac:dyDescent="0.25">
      <c r="A11" t="s">
        <v>255</v>
      </c>
      <c r="B11" t="s">
        <v>256</v>
      </c>
      <c r="C11" s="2">
        <v>5.5673683641512444E-3</v>
      </c>
      <c r="D11" s="2" t="s">
        <v>14</v>
      </c>
      <c r="E11" s="4">
        <f>IF(LEN(Table_Query_from_sql1[[#This Row],[Date]])&gt;0,DATE(LEFT(Table_Query_from_sql1[[#This Row],[Date]],4),MID(Table_Query_from_sql1[[#This Row],[Date]],6,2),RIGHT(Table_Query_from_sql1[[#This Row],[Date]],2)),"")</f>
        <v>43215</v>
      </c>
      <c r="F11" t="str">
        <f>Table_Query_from_sql1[[#This Row],[DateFormatted]]&amp;Table_Query_from_sql1[[#This Row],[Ticker]]</f>
        <v>43215ABBV</v>
      </c>
    </row>
    <row r="12" spans="1:6" x14ac:dyDescent="0.25">
      <c r="A12" t="s">
        <v>255</v>
      </c>
      <c r="B12" t="s">
        <v>256</v>
      </c>
      <c r="C12" s="2">
        <v>5.8861907030315588E-2</v>
      </c>
      <c r="D12" s="2" t="s">
        <v>15</v>
      </c>
      <c r="E12" s="4">
        <f>IF(LEN(Table_Query_from_sql1[[#This Row],[Date]])&gt;0,DATE(LEFT(Table_Query_from_sql1[[#This Row],[Date]],4),MID(Table_Query_from_sql1[[#This Row],[Date]],6,2),RIGHT(Table_Query_from_sql1[[#This Row],[Date]],2)),"")</f>
        <v>43216</v>
      </c>
      <c r="F12" t="str">
        <f>Table_Query_from_sql1[[#This Row],[DateFormatted]]&amp;Table_Query_from_sql1[[#This Row],[Ticker]]</f>
        <v>43216ABBV</v>
      </c>
    </row>
    <row r="13" spans="1:6" x14ac:dyDescent="0.25">
      <c r="A13" t="s">
        <v>255</v>
      </c>
      <c r="B13" t="s">
        <v>256</v>
      </c>
      <c r="C13" s="2">
        <v>1.3152732553504921E-2</v>
      </c>
      <c r="D13" s="2" t="s">
        <v>16</v>
      </c>
      <c r="E13" s="4">
        <f>IF(LEN(Table_Query_from_sql1[[#This Row],[Date]])&gt;0,DATE(LEFT(Table_Query_from_sql1[[#This Row],[Date]],4),MID(Table_Query_from_sql1[[#This Row],[Date]],6,2),RIGHT(Table_Query_from_sql1[[#This Row],[Date]],2)),"")</f>
        <v>43217</v>
      </c>
      <c r="F13" t="str">
        <f>Table_Query_from_sql1[[#This Row],[DateFormatted]]&amp;Table_Query_from_sql1[[#This Row],[Ticker]]</f>
        <v>43217ABBV</v>
      </c>
    </row>
    <row r="14" spans="1:6" x14ac:dyDescent="0.25">
      <c r="A14" t="s">
        <v>255</v>
      </c>
      <c r="B14" t="s">
        <v>256</v>
      </c>
      <c r="C14" s="2">
        <v>-2.2328355270581152E-2</v>
      </c>
      <c r="D14" s="2" t="s">
        <v>17</v>
      </c>
      <c r="E14" s="4">
        <f>IF(LEN(Table_Query_from_sql1[[#This Row],[Date]])&gt;0,DATE(LEFT(Table_Query_from_sql1[[#This Row],[Date]],4),MID(Table_Query_from_sql1[[#This Row],[Date]],6,2),RIGHT(Table_Query_from_sql1[[#This Row],[Date]],2)),"")</f>
        <v>43220</v>
      </c>
      <c r="F14" t="str">
        <f>Table_Query_from_sql1[[#This Row],[DateFormatted]]&amp;Table_Query_from_sql1[[#This Row],[Ticker]]</f>
        <v>43220ABBV</v>
      </c>
    </row>
    <row r="15" spans="1:6" x14ac:dyDescent="0.25">
      <c r="A15" t="s">
        <v>255</v>
      </c>
      <c r="B15" t="s">
        <v>256</v>
      </c>
      <c r="C15" s="2">
        <v>5.5598290628935759E-2</v>
      </c>
      <c r="D15" s="2" t="s">
        <v>18</v>
      </c>
      <c r="E15" s="4">
        <f>IF(LEN(Table_Query_from_sql1[[#This Row],[Date]])&gt;0,DATE(LEFT(Table_Query_from_sql1[[#This Row],[Date]],4),MID(Table_Query_from_sql1[[#This Row],[Date]],6,2),RIGHT(Table_Query_from_sql1[[#This Row],[Date]],2)),"")</f>
        <v>43221</v>
      </c>
      <c r="F15" t="str">
        <f>Table_Query_from_sql1[[#This Row],[DateFormatted]]&amp;Table_Query_from_sql1[[#This Row],[Ticker]]</f>
        <v>43221ABBV</v>
      </c>
    </row>
    <row r="16" spans="1:6" x14ac:dyDescent="0.25">
      <c r="A16" t="s">
        <v>255</v>
      </c>
      <c r="B16" t="s">
        <v>256</v>
      </c>
      <c r="C16" s="2">
        <v>-1.6796220254747214E-2</v>
      </c>
      <c r="D16" s="2" t="s">
        <v>19</v>
      </c>
      <c r="E16" s="4">
        <f>IF(LEN(Table_Query_from_sql1[[#This Row],[Date]])&gt;0,DATE(LEFT(Table_Query_from_sql1[[#This Row],[Date]],4),MID(Table_Query_from_sql1[[#This Row],[Date]],6,2),RIGHT(Table_Query_from_sql1[[#This Row],[Date]],2)),"")</f>
        <v>43222</v>
      </c>
      <c r="F16" t="str">
        <f>Table_Query_from_sql1[[#This Row],[DateFormatted]]&amp;Table_Query_from_sql1[[#This Row],[Ticker]]</f>
        <v>43222ABBV</v>
      </c>
    </row>
    <row r="17" spans="1:6" x14ac:dyDescent="0.25">
      <c r="A17" t="s">
        <v>255</v>
      </c>
      <c r="B17" t="s">
        <v>256</v>
      </c>
      <c r="C17" s="2">
        <v>-8.9626880051332997E-4</v>
      </c>
      <c r="D17" s="2" t="s">
        <v>20</v>
      </c>
      <c r="E17" s="4">
        <f>IF(LEN(Table_Query_from_sql1[[#This Row],[Date]])&gt;0,DATE(LEFT(Table_Query_from_sql1[[#This Row],[Date]],4),MID(Table_Query_from_sql1[[#This Row],[Date]],6,2),RIGHT(Table_Query_from_sql1[[#This Row],[Date]],2)),"")</f>
        <v>43223</v>
      </c>
      <c r="F17" t="str">
        <f>Table_Query_from_sql1[[#This Row],[DateFormatted]]&amp;Table_Query_from_sql1[[#This Row],[Ticker]]</f>
        <v>43223ABBV</v>
      </c>
    </row>
    <row r="18" spans="1:6" x14ac:dyDescent="0.25">
      <c r="A18" t="s">
        <v>255</v>
      </c>
      <c r="B18" t="s">
        <v>256</v>
      </c>
      <c r="C18" s="2">
        <v>-1.0982513129220025E-3</v>
      </c>
      <c r="D18" s="2" t="s">
        <v>21</v>
      </c>
      <c r="E18" s="4">
        <f>IF(LEN(Table_Query_from_sql1[[#This Row],[Date]])&gt;0,DATE(LEFT(Table_Query_from_sql1[[#This Row],[Date]],4),MID(Table_Query_from_sql1[[#This Row],[Date]],6,2),RIGHT(Table_Query_from_sql1[[#This Row],[Date]],2)),"")</f>
        <v>43224</v>
      </c>
      <c r="F18" t="str">
        <f>Table_Query_from_sql1[[#This Row],[DateFormatted]]&amp;Table_Query_from_sql1[[#This Row],[Ticker]]</f>
        <v>43224ABBV</v>
      </c>
    </row>
    <row r="19" spans="1:6" x14ac:dyDescent="0.25">
      <c r="A19" t="s">
        <v>255</v>
      </c>
      <c r="B19" t="s">
        <v>256</v>
      </c>
      <c r="C19" s="2">
        <v>-5.4046412307161675E-3</v>
      </c>
      <c r="D19" s="2" t="s">
        <v>22</v>
      </c>
      <c r="E19" s="4">
        <f>IF(LEN(Table_Query_from_sql1[[#This Row],[Date]])&gt;0,DATE(LEFT(Table_Query_from_sql1[[#This Row],[Date]],4),MID(Table_Query_from_sql1[[#This Row],[Date]],6,2),RIGHT(Table_Query_from_sql1[[#This Row],[Date]],2)),"")</f>
        <v>43227</v>
      </c>
      <c r="F19" t="str">
        <f>Table_Query_from_sql1[[#This Row],[DateFormatted]]&amp;Table_Query_from_sql1[[#This Row],[Ticker]]</f>
        <v>43227ABBV</v>
      </c>
    </row>
    <row r="20" spans="1:6" x14ac:dyDescent="0.25">
      <c r="A20" t="s">
        <v>255</v>
      </c>
      <c r="B20" t="s">
        <v>256</v>
      </c>
      <c r="C20" s="2">
        <v>-2.3118780120938505E-3</v>
      </c>
      <c r="D20" s="2" t="s">
        <v>23</v>
      </c>
      <c r="E20" s="4">
        <f>IF(LEN(Table_Query_from_sql1[[#This Row],[Date]])&gt;0,DATE(LEFT(Table_Query_from_sql1[[#This Row],[Date]],4),MID(Table_Query_from_sql1[[#This Row],[Date]],6,2),RIGHT(Table_Query_from_sql1[[#This Row],[Date]],2)),"")</f>
        <v>43228</v>
      </c>
      <c r="F20" t="str">
        <f>Table_Query_from_sql1[[#This Row],[DateFormatted]]&amp;Table_Query_from_sql1[[#This Row],[Ticker]]</f>
        <v>43228ABBV</v>
      </c>
    </row>
    <row r="21" spans="1:6" x14ac:dyDescent="0.25">
      <c r="A21" t="s">
        <v>255</v>
      </c>
      <c r="B21" t="s">
        <v>256</v>
      </c>
      <c r="C21" s="2">
        <v>1.774866450193879E-2</v>
      </c>
      <c r="D21" s="2" t="s">
        <v>24</v>
      </c>
      <c r="E21" s="4">
        <f>IF(LEN(Table_Query_from_sql1[[#This Row],[Date]])&gt;0,DATE(LEFT(Table_Query_from_sql1[[#This Row],[Date]],4),MID(Table_Query_from_sql1[[#This Row],[Date]],6,2),RIGHT(Table_Query_from_sql1[[#This Row],[Date]],2)),"")</f>
        <v>43229</v>
      </c>
      <c r="F21" t="str">
        <f>Table_Query_from_sql1[[#This Row],[DateFormatted]]&amp;Table_Query_from_sql1[[#This Row],[Ticker]]</f>
        <v>43229ABBV</v>
      </c>
    </row>
    <row r="22" spans="1:6" x14ac:dyDescent="0.25">
      <c r="A22" t="s">
        <v>255</v>
      </c>
      <c r="B22" t="s">
        <v>256</v>
      </c>
      <c r="C22" s="2">
        <v>1.6371494558247306E-2</v>
      </c>
      <c r="D22" s="2" t="s">
        <v>25</v>
      </c>
      <c r="E22" s="4">
        <f>IF(LEN(Table_Query_from_sql1[[#This Row],[Date]])&gt;0,DATE(LEFT(Table_Query_from_sql1[[#This Row],[Date]],4),MID(Table_Query_from_sql1[[#This Row],[Date]],6,2),RIGHT(Table_Query_from_sql1[[#This Row],[Date]],2)),"")</f>
        <v>43230</v>
      </c>
      <c r="F22" t="str">
        <f>Table_Query_from_sql1[[#This Row],[DateFormatted]]&amp;Table_Query_from_sql1[[#This Row],[Ticker]]</f>
        <v>43230ABBV</v>
      </c>
    </row>
    <row r="23" spans="1:6" x14ac:dyDescent="0.25">
      <c r="A23" t="s">
        <v>255</v>
      </c>
      <c r="B23" t="s">
        <v>256</v>
      </c>
      <c r="C23" s="2">
        <v>1.2848185239631622E-2</v>
      </c>
      <c r="D23" s="2" t="s">
        <v>26</v>
      </c>
      <c r="E23" s="4">
        <f>IF(LEN(Table_Query_from_sql1[[#This Row],[Date]])&gt;0,DATE(LEFT(Table_Query_from_sql1[[#This Row],[Date]],4),MID(Table_Query_from_sql1[[#This Row],[Date]],6,2),RIGHT(Table_Query_from_sql1[[#This Row],[Date]],2)),"")</f>
        <v>43231</v>
      </c>
      <c r="F23" t="str">
        <f>Table_Query_from_sql1[[#This Row],[DateFormatted]]&amp;Table_Query_from_sql1[[#This Row],[Ticker]]</f>
        <v>43231ABBV</v>
      </c>
    </row>
    <row r="24" spans="1:6" x14ac:dyDescent="0.25">
      <c r="A24" t="s">
        <v>255</v>
      </c>
      <c r="B24" t="s">
        <v>256</v>
      </c>
      <c r="C24" s="2">
        <v>1.6280602154573321E-2</v>
      </c>
      <c r="D24" s="2" t="s">
        <v>27</v>
      </c>
      <c r="E24" s="4">
        <f>IF(LEN(Table_Query_from_sql1[[#This Row],[Date]])&gt;0,DATE(LEFT(Table_Query_from_sql1[[#This Row],[Date]],4),MID(Table_Query_from_sql1[[#This Row],[Date]],6,2),RIGHT(Table_Query_from_sql1[[#This Row],[Date]],2)),"")</f>
        <v>43234</v>
      </c>
      <c r="F24" t="str">
        <f>Table_Query_from_sql1[[#This Row],[DateFormatted]]&amp;Table_Query_from_sql1[[#This Row],[Ticker]]</f>
        <v>43234ABBV</v>
      </c>
    </row>
    <row r="25" spans="1:6" x14ac:dyDescent="0.25">
      <c r="A25" t="s">
        <v>255</v>
      </c>
      <c r="B25" t="s">
        <v>256</v>
      </c>
      <c r="C25" s="2">
        <v>-1.6280602154573279E-2</v>
      </c>
      <c r="D25" s="2" t="s">
        <v>28</v>
      </c>
      <c r="E25" s="4">
        <f>IF(LEN(Table_Query_from_sql1[[#This Row],[Date]])&gt;0,DATE(LEFT(Table_Query_from_sql1[[#This Row],[Date]],4),MID(Table_Query_from_sql1[[#This Row],[Date]],6,2),RIGHT(Table_Query_from_sql1[[#This Row],[Date]],2)),"")</f>
        <v>43235</v>
      </c>
      <c r="F25" t="str">
        <f>Table_Query_from_sql1[[#This Row],[DateFormatted]]&amp;Table_Query_from_sql1[[#This Row],[Ticker]]</f>
        <v>43235ABBV</v>
      </c>
    </row>
    <row r="26" spans="1:6" x14ac:dyDescent="0.25">
      <c r="A26" t="s">
        <v>255</v>
      </c>
      <c r="B26" t="s">
        <v>256</v>
      </c>
      <c r="C26" s="2">
        <v>8.2211557136786188E-3</v>
      </c>
      <c r="D26" s="2" t="s">
        <v>29</v>
      </c>
      <c r="E26" s="4">
        <f>IF(LEN(Table_Query_from_sql1[[#This Row],[Date]])&gt;0,DATE(LEFT(Table_Query_from_sql1[[#This Row],[Date]],4),MID(Table_Query_from_sql1[[#This Row],[Date]],6,2),RIGHT(Table_Query_from_sql1[[#This Row],[Date]],2)),"")</f>
        <v>43236</v>
      </c>
      <c r="F26" t="str">
        <f>Table_Query_from_sql1[[#This Row],[DateFormatted]]&amp;Table_Query_from_sql1[[#This Row],[Ticker]]</f>
        <v>43236ABBV</v>
      </c>
    </row>
    <row r="27" spans="1:6" x14ac:dyDescent="0.25">
      <c r="A27" t="s">
        <v>255</v>
      </c>
      <c r="B27" t="s">
        <v>256</v>
      </c>
      <c r="C27" s="2">
        <v>2.6619764546317285E-3</v>
      </c>
      <c r="D27" s="2" t="s">
        <v>30</v>
      </c>
      <c r="E27" s="4">
        <f>IF(LEN(Table_Query_from_sql1[[#This Row],[Date]])&gt;0,DATE(LEFT(Table_Query_from_sql1[[#This Row],[Date]],4),MID(Table_Query_from_sql1[[#This Row],[Date]],6,2),RIGHT(Table_Query_from_sql1[[#This Row],[Date]],2)),"")</f>
        <v>43237</v>
      </c>
      <c r="F27" t="str">
        <f>Table_Query_from_sql1[[#This Row],[DateFormatted]]&amp;Table_Query_from_sql1[[#This Row],[Ticker]]</f>
        <v>43237ABBV</v>
      </c>
    </row>
    <row r="28" spans="1:6" x14ac:dyDescent="0.25">
      <c r="A28" t="s">
        <v>255</v>
      </c>
      <c r="B28" t="s">
        <v>256</v>
      </c>
      <c r="C28" s="2">
        <v>6.247250592060237E-3</v>
      </c>
      <c r="D28" s="2" t="s">
        <v>31</v>
      </c>
      <c r="E28" s="4">
        <f>IF(LEN(Table_Query_from_sql1[[#This Row],[Date]])&gt;0,DATE(LEFT(Table_Query_from_sql1[[#This Row],[Date]],4),MID(Table_Query_from_sql1[[#This Row],[Date]],6,2),RIGHT(Table_Query_from_sql1[[#This Row],[Date]],2)),"")</f>
        <v>43238</v>
      </c>
      <c r="F28" t="str">
        <f>Table_Query_from_sql1[[#This Row],[DateFormatted]]&amp;Table_Query_from_sql1[[#This Row],[Ticker]]</f>
        <v>43238ABBV</v>
      </c>
    </row>
    <row r="29" spans="1:6" x14ac:dyDescent="0.25">
      <c r="A29" t="s">
        <v>255</v>
      </c>
      <c r="B29" t="s">
        <v>256</v>
      </c>
      <c r="C29" s="2">
        <v>2.3562873531607969E-3</v>
      </c>
      <c r="D29" s="2" t="s">
        <v>32</v>
      </c>
      <c r="E29" s="4">
        <f>IF(LEN(Table_Query_from_sql1[[#This Row],[Date]])&gt;0,DATE(LEFT(Table_Query_from_sql1[[#This Row],[Date]],4),MID(Table_Query_from_sql1[[#This Row],[Date]],6,2),RIGHT(Table_Query_from_sql1[[#This Row],[Date]],2)),"")</f>
        <v>43241</v>
      </c>
      <c r="F29" t="str">
        <f>Table_Query_from_sql1[[#This Row],[DateFormatted]]&amp;Table_Query_from_sql1[[#This Row],[Ticker]]</f>
        <v>43241ABBV</v>
      </c>
    </row>
    <row r="30" spans="1:6" x14ac:dyDescent="0.25">
      <c r="A30" t="s">
        <v>255</v>
      </c>
      <c r="B30" t="s">
        <v>256</v>
      </c>
      <c r="C30" s="2">
        <v>0</v>
      </c>
      <c r="D30" s="2" t="s">
        <v>33</v>
      </c>
      <c r="E30" s="4">
        <f>IF(LEN(Table_Query_from_sql1[[#This Row],[Date]])&gt;0,DATE(LEFT(Table_Query_from_sql1[[#This Row],[Date]],4),MID(Table_Query_from_sql1[[#This Row],[Date]],6,2),RIGHT(Table_Query_from_sql1[[#This Row],[Date]],2)),"")</f>
        <v>43242</v>
      </c>
      <c r="F30" t="str">
        <f>Table_Query_from_sql1[[#This Row],[DateFormatted]]&amp;Table_Query_from_sql1[[#This Row],[Ticker]]</f>
        <v>43242ABBV</v>
      </c>
    </row>
    <row r="31" spans="1:6" x14ac:dyDescent="0.25">
      <c r="A31" t="s">
        <v>255</v>
      </c>
      <c r="B31" t="s">
        <v>256</v>
      </c>
      <c r="C31" s="2">
        <v>-5.9486288003840586E-3</v>
      </c>
      <c r="D31" s="2" t="s">
        <v>34</v>
      </c>
      <c r="E31" s="4">
        <f>IF(LEN(Table_Query_from_sql1[[#This Row],[Date]])&gt;0,DATE(LEFT(Table_Query_from_sql1[[#This Row],[Date]],4),MID(Table_Query_from_sql1[[#This Row],[Date]],6,2),RIGHT(Table_Query_from_sql1[[#This Row],[Date]],2)),"")</f>
        <v>43243</v>
      </c>
      <c r="F31" t="str">
        <f>Table_Query_from_sql1[[#This Row],[DateFormatted]]&amp;Table_Query_from_sql1[[#This Row],[Ticker]]</f>
        <v>43243ABBV</v>
      </c>
    </row>
    <row r="32" spans="1:6" x14ac:dyDescent="0.25">
      <c r="A32" t="s">
        <v>255</v>
      </c>
      <c r="B32" t="s">
        <v>256</v>
      </c>
      <c r="C32" s="2">
        <v>-2.3571441916772486E-2</v>
      </c>
      <c r="D32" s="2" t="s">
        <v>35</v>
      </c>
      <c r="E32" s="4">
        <f>IF(LEN(Table_Query_from_sql1[[#This Row],[Date]])&gt;0,DATE(LEFT(Table_Query_from_sql1[[#This Row],[Date]],4),MID(Table_Query_from_sql1[[#This Row],[Date]],6,2),RIGHT(Table_Query_from_sql1[[#This Row],[Date]],2)),"")</f>
        <v>43244</v>
      </c>
      <c r="F32" t="str">
        <f>Table_Query_from_sql1[[#This Row],[DateFormatted]]&amp;Table_Query_from_sql1[[#This Row],[Ticker]]</f>
        <v>43244ABBV</v>
      </c>
    </row>
    <row r="33" spans="1:6" x14ac:dyDescent="0.25">
      <c r="A33" t="s">
        <v>255</v>
      </c>
      <c r="B33" t="s">
        <v>256</v>
      </c>
      <c r="C33" s="2">
        <v>-2.0174547296654993E-2</v>
      </c>
      <c r="D33" s="2" t="s">
        <v>36</v>
      </c>
      <c r="E33" s="4">
        <f>IF(LEN(Table_Query_from_sql1[[#This Row],[Date]])&gt;0,DATE(LEFT(Table_Query_from_sql1[[#This Row],[Date]],4),MID(Table_Query_from_sql1[[#This Row],[Date]],6,2),RIGHT(Table_Query_from_sql1[[#This Row],[Date]],2)),"")</f>
        <v>43245</v>
      </c>
      <c r="F33" t="str">
        <f>Table_Query_from_sql1[[#This Row],[DateFormatted]]&amp;Table_Query_from_sql1[[#This Row],[Ticker]]</f>
        <v>43245ABBV</v>
      </c>
    </row>
    <row r="34" spans="1:6" x14ac:dyDescent="0.25">
      <c r="A34" t="s">
        <v>255</v>
      </c>
      <c r="B34" t="s">
        <v>256</v>
      </c>
      <c r="C34" s="2">
        <v>-1.6056712319442279E-2</v>
      </c>
      <c r="D34" s="2" t="s">
        <v>37</v>
      </c>
      <c r="E34" s="4">
        <f>IF(LEN(Table_Query_from_sql1[[#This Row],[Date]])&gt;0,DATE(LEFT(Table_Query_from_sql1[[#This Row],[Date]],4),MID(Table_Query_from_sql1[[#This Row],[Date]],6,2),RIGHT(Table_Query_from_sql1[[#This Row],[Date]],2)),"")</f>
        <v>43249</v>
      </c>
      <c r="F34" t="str">
        <f>Table_Query_from_sql1[[#This Row],[DateFormatted]]&amp;Table_Query_from_sql1[[#This Row],[Ticker]]</f>
        <v>43249ABBV</v>
      </c>
    </row>
    <row r="35" spans="1:6" x14ac:dyDescent="0.25">
      <c r="A35" t="s">
        <v>255</v>
      </c>
      <c r="B35" t="s">
        <v>256</v>
      </c>
      <c r="C35" s="2">
        <v>3.497085446517402E-2</v>
      </c>
      <c r="D35" s="2" t="s">
        <v>38</v>
      </c>
      <c r="E35" s="4">
        <f>IF(LEN(Table_Query_from_sql1[[#This Row],[Date]])&gt;0,DATE(LEFT(Table_Query_from_sql1[[#This Row],[Date]],4),MID(Table_Query_from_sql1[[#This Row],[Date]],6,2),RIGHT(Table_Query_from_sql1[[#This Row],[Date]],2)),"")</f>
        <v>43250</v>
      </c>
      <c r="F35" t="str">
        <f>Table_Query_from_sql1[[#This Row],[DateFormatted]]&amp;Table_Query_from_sql1[[#This Row],[Ticker]]</f>
        <v>43250ABBV</v>
      </c>
    </row>
    <row r="36" spans="1:6" x14ac:dyDescent="0.25">
      <c r="A36" t="s">
        <v>255</v>
      </c>
      <c r="B36" t="s">
        <v>256</v>
      </c>
      <c r="C36" s="2">
        <v>-4.0313346341059389E-2</v>
      </c>
      <c r="D36" s="2" t="s">
        <v>39</v>
      </c>
      <c r="E36" s="4">
        <f>IF(LEN(Table_Query_from_sql1[[#This Row],[Date]])&gt;0,DATE(LEFT(Table_Query_from_sql1[[#This Row],[Date]],4),MID(Table_Query_from_sql1[[#This Row],[Date]],6,2),RIGHT(Table_Query_from_sql1[[#This Row],[Date]],2)),"")</f>
        <v>43251</v>
      </c>
      <c r="F36" t="str">
        <f>Table_Query_from_sql1[[#This Row],[DateFormatted]]&amp;Table_Query_from_sql1[[#This Row],[Ticker]]</f>
        <v>43251ABBV</v>
      </c>
    </row>
    <row r="37" spans="1:6" x14ac:dyDescent="0.25">
      <c r="A37" t="s">
        <v>255</v>
      </c>
      <c r="B37" t="s">
        <v>256</v>
      </c>
      <c r="C37" s="2">
        <v>-9.0358852516553498E-3</v>
      </c>
      <c r="D37" s="2" t="s">
        <v>40</v>
      </c>
      <c r="E37" s="4">
        <f>IF(LEN(Table_Query_from_sql1[[#This Row],[Date]])&gt;0,DATE(LEFT(Table_Query_from_sql1[[#This Row],[Date]],4),MID(Table_Query_from_sql1[[#This Row],[Date]],6,2),RIGHT(Table_Query_from_sql1[[#This Row],[Date]],2)),"")</f>
        <v>43252</v>
      </c>
      <c r="F37" t="str">
        <f>Table_Query_from_sql1[[#This Row],[DateFormatted]]&amp;Table_Query_from_sql1[[#This Row],[Ticker]]</f>
        <v>43252ABBV</v>
      </c>
    </row>
    <row r="38" spans="1:6" x14ac:dyDescent="0.25">
      <c r="A38" t="s">
        <v>255</v>
      </c>
      <c r="B38" t="s">
        <v>256</v>
      </c>
      <c r="C38" s="2">
        <v>1.0652686977875274E-2</v>
      </c>
      <c r="D38" s="2" t="s">
        <v>41</v>
      </c>
      <c r="E38" s="4">
        <f>IF(LEN(Table_Query_from_sql1[[#This Row],[Date]])&gt;0,DATE(LEFT(Table_Query_from_sql1[[#This Row],[Date]],4),MID(Table_Query_from_sql1[[#This Row],[Date]],6,2),RIGHT(Table_Query_from_sql1[[#This Row],[Date]],2)),"")</f>
        <v>43255</v>
      </c>
      <c r="F38" t="str">
        <f>Table_Query_from_sql1[[#This Row],[DateFormatted]]&amp;Table_Query_from_sql1[[#This Row],[Ticker]]</f>
        <v>43255ABBV</v>
      </c>
    </row>
    <row r="39" spans="1:6" x14ac:dyDescent="0.25">
      <c r="A39" t="s">
        <v>255</v>
      </c>
      <c r="B39" t="s">
        <v>256</v>
      </c>
      <c r="C39" s="2">
        <v>1.4111283445854591E-3</v>
      </c>
      <c r="D39" s="2" t="s">
        <v>42</v>
      </c>
      <c r="E39" s="4">
        <f>IF(LEN(Table_Query_from_sql1[[#This Row],[Date]])&gt;0,DATE(LEFT(Table_Query_from_sql1[[#This Row],[Date]],4),MID(Table_Query_from_sql1[[#This Row],[Date]],6,2),RIGHT(Table_Query_from_sql1[[#This Row],[Date]],2)),"")</f>
        <v>43256</v>
      </c>
      <c r="F39" t="str">
        <f>Table_Query_from_sql1[[#This Row],[DateFormatted]]&amp;Table_Query_from_sql1[[#This Row],[Ticker]]</f>
        <v>43256ABBV</v>
      </c>
    </row>
    <row r="40" spans="1:6" x14ac:dyDescent="0.25">
      <c r="A40" t="s">
        <v>255</v>
      </c>
      <c r="B40" t="s">
        <v>256</v>
      </c>
      <c r="C40" s="2">
        <v>7.4291694533149145E-3</v>
      </c>
      <c r="D40" s="2" t="s">
        <v>43</v>
      </c>
      <c r="E40" s="4">
        <f>IF(LEN(Table_Query_from_sql1[[#This Row],[Date]])&gt;0,DATE(LEFT(Table_Query_from_sql1[[#This Row],[Date]],4),MID(Table_Query_from_sql1[[#This Row],[Date]],6,2),RIGHT(Table_Query_from_sql1[[#This Row],[Date]],2)),"")</f>
        <v>43257</v>
      </c>
      <c r="F40" t="str">
        <f>Table_Query_from_sql1[[#This Row],[DateFormatted]]&amp;Table_Query_from_sql1[[#This Row],[Ticker]]</f>
        <v>43257ABBV</v>
      </c>
    </row>
    <row r="41" spans="1:6" x14ac:dyDescent="0.25">
      <c r="A41" t="s">
        <v>255</v>
      </c>
      <c r="B41" t="s">
        <v>256</v>
      </c>
      <c r="C41" s="2">
        <v>-6.6234062249769599E-3</v>
      </c>
      <c r="D41" s="2" t="s">
        <v>44</v>
      </c>
      <c r="E41" s="4">
        <f>IF(LEN(Table_Query_from_sql1[[#This Row],[Date]])&gt;0,DATE(LEFT(Table_Query_from_sql1[[#This Row],[Date]],4),MID(Table_Query_from_sql1[[#This Row],[Date]],6,2),RIGHT(Table_Query_from_sql1[[#This Row],[Date]],2)),"")</f>
        <v>43258</v>
      </c>
      <c r="F41" t="str">
        <f>Table_Query_from_sql1[[#This Row],[DateFormatted]]&amp;Table_Query_from_sql1[[#This Row],[Ticker]]</f>
        <v>43258ABBV</v>
      </c>
    </row>
    <row r="42" spans="1:6" x14ac:dyDescent="0.25">
      <c r="A42" t="s">
        <v>255</v>
      </c>
      <c r="B42" t="s">
        <v>256</v>
      </c>
      <c r="C42" s="2">
        <v>1.1114249538233709E-2</v>
      </c>
      <c r="D42" s="2" t="s">
        <v>45</v>
      </c>
      <c r="E42" s="4">
        <f>IF(LEN(Table_Query_from_sql1[[#This Row],[Date]])&gt;0,DATE(LEFT(Table_Query_from_sql1[[#This Row],[Date]],4),MID(Table_Query_from_sql1[[#This Row],[Date]],6,2),RIGHT(Table_Query_from_sql1[[#This Row],[Date]],2)),"")</f>
        <v>43259</v>
      </c>
      <c r="F42" t="str">
        <f>Table_Query_from_sql1[[#This Row],[DateFormatted]]&amp;Table_Query_from_sql1[[#This Row],[Ticker]]</f>
        <v>43259ABBV</v>
      </c>
    </row>
    <row r="43" spans="1:6" x14ac:dyDescent="0.25">
      <c r="A43" t="s">
        <v>255</v>
      </c>
      <c r="B43" t="s">
        <v>256</v>
      </c>
      <c r="C43" s="2">
        <v>-6.5936301761660449E-3</v>
      </c>
      <c r="D43" s="2" t="s">
        <v>46</v>
      </c>
      <c r="E43" s="4">
        <f>IF(LEN(Table_Query_from_sql1[[#This Row],[Date]])&gt;0,DATE(LEFT(Table_Query_from_sql1[[#This Row],[Date]],4),MID(Table_Query_from_sql1[[#This Row],[Date]],6,2),RIGHT(Table_Query_from_sql1[[#This Row],[Date]],2)),"")</f>
        <v>43262</v>
      </c>
      <c r="F43" t="str">
        <f>Table_Query_from_sql1[[#This Row],[DateFormatted]]&amp;Table_Query_from_sql1[[#This Row],[Ticker]]</f>
        <v>43262ABBV</v>
      </c>
    </row>
    <row r="44" spans="1:6" x14ac:dyDescent="0.25">
      <c r="A44" t="s">
        <v>255</v>
      </c>
      <c r="B44" t="s">
        <v>256</v>
      </c>
      <c r="C44" s="2">
        <v>-8.6572970598321822E-3</v>
      </c>
      <c r="D44" s="2" t="s">
        <v>47</v>
      </c>
      <c r="E44" s="4">
        <f>IF(LEN(Table_Query_from_sql1[[#This Row],[Date]])&gt;0,DATE(LEFT(Table_Query_from_sql1[[#This Row],[Date]],4),MID(Table_Query_from_sql1[[#This Row],[Date]],6,2),RIGHT(Table_Query_from_sql1[[#This Row],[Date]],2)),"")</f>
        <v>43263</v>
      </c>
      <c r="F44" t="str">
        <f>Table_Query_from_sql1[[#This Row],[DateFormatted]]&amp;Table_Query_from_sql1[[#This Row],[Ticker]]</f>
        <v>43263ABBV</v>
      </c>
    </row>
    <row r="45" spans="1:6" x14ac:dyDescent="0.25">
      <c r="A45" t="s">
        <v>255</v>
      </c>
      <c r="B45" t="s">
        <v>256</v>
      </c>
      <c r="C45" s="2">
        <v>-1.3537404574353302E-2</v>
      </c>
      <c r="D45" s="2" t="s">
        <v>48</v>
      </c>
      <c r="E45" s="4">
        <f>IF(LEN(Table_Query_from_sql1[[#This Row],[Date]])&gt;0,DATE(LEFT(Table_Query_from_sql1[[#This Row],[Date]],4),MID(Table_Query_from_sql1[[#This Row],[Date]],6,2),RIGHT(Table_Query_from_sql1[[#This Row],[Date]],2)),"")</f>
        <v>43264</v>
      </c>
      <c r="F45" t="str">
        <f>Table_Query_from_sql1[[#This Row],[DateFormatted]]&amp;Table_Query_from_sql1[[#This Row],[Ticker]]</f>
        <v>43264ABBV</v>
      </c>
    </row>
    <row r="46" spans="1:6" x14ac:dyDescent="0.25">
      <c r="A46" t="s">
        <v>255</v>
      </c>
      <c r="B46" t="s">
        <v>256</v>
      </c>
      <c r="C46" s="2">
        <v>1.1918540061075908E-2</v>
      </c>
      <c r="D46" s="2" t="s">
        <v>49</v>
      </c>
      <c r="E46" s="4">
        <f>IF(LEN(Table_Query_from_sql1[[#This Row],[Date]])&gt;0,DATE(LEFT(Table_Query_from_sql1[[#This Row],[Date]],4),MID(Table_Query_from_sql1[[#This Row],[Date]],6,2),RIGHT(Table_Query_from_sql1[[#This Row],[Date]],2)),"")</f>
        <v>43265</v>
      </c>
      <c r="F46" t="str">
        <f>Table_Query_from_sql1[[#This Row],[DateFormatted]]&amp;Table_Query_from_sql1[[#This Row],[Ticker]]</f>
        <v>43265ABBV</v>
      </c>
    </row>
    <row r="47" spans="1:6" x14ac:dyDescent="0.25">
      <c r="A47" t="s">
        <v>255</v>
      </c>
      <c r="B47" t="s">
        <v>256</v>
      </c>
      <c r="C47" s="2">
        <v>8.2696352845482261E-3</v>
      </c>
      <c r="D47" s="2" t="s">
        <v>50</v>
      </c>
      <c r="E47" s="4">
        <f>IF(LEN(Table_Query_from_sql1[[#This Row],[Date]])&gt;0,DATE(LEFT(Table_Query_from_sql1[[#This Row],[Date]],4),MID(Table_Query_from_sql1[[#This Row],[Date]],6,2),RIGHT(Table_Query_from_sql1[[#This Row],[Date]],2)),"")</f>
        <v>43266</v>
      </c>
      <c r="F47" t="str">
        <f>Table_Query_from_sql1[[#This Row],[DateFormatted]]&amp;Table_Query_from_sql1[[#This Row],[Ticker]]</f>
        <v>43266ABBV</v>
      </c>
    </row>
    <row r="48" spans="1:6" x14ac:dyDescent="0.25">
      <c r="A48" t="s">
        <v>255</v>
      </c>
      <c r="B48" t="s">
        <v>256</v>
      </c>
      <c r="C48" s="2">
        <v>-1.1007163536206685E-2</v>
      </c>
      <c r="D48" s="2" t="s">
        <v>51</v>
      </c>
      <c r="E48" s="4">
        <f>IF(LEN(Table_Query_from_sql1[[#This Row],[Date]])&gt;0,DATE(LEFT(Table_Query_from_sql1[[#This Row],[Date]],4),MID(Table_Query_from_sql1[[#This Row],[Date]],6,2),RIGHT(Table_Query_from_sql1[[#This Row],[Date]],2)),"")</f>
        <v>43269</v>
      </c>
      <c r="F48" t="str">
        <f>Table_Query_from_sql1[[#This Row],[DateFormatted]]&amp;Table_Query_from_sql1[[#This Row],[Ticker]]</f>
        <v>43269ABBV</v>
      </c>
    </row>
    <row r="49" spans="1:6" x14ac:dyDescent="0.25">
      <c r="A49" t="s">
        <v>255</v>
      </c>
      <c r="B49" t="s">
        <v>256</v>
      </c>
      <c r="C49" s="2">
        <v>-4.7845269828191367E-3</v>
      </c>
      <c r="D49" s="2" t="s">
        <v>52</v>
      </c>
      <c r="E49" s="4">
        <f>IF(LEN(Table_Query_from_sql1[[#This Row],[Date]])&gt;0,DATE(LEFT(Table_Query_from_sql1[[#This Row],[Date]],4),MID(Table_Query_from_sql1[[#This Row],[Date]],6,2),RIGHT(Table_Query_from_sql1[[#This Row],[Date]],2)),"")</f>
        <v>43270</v>
      </c>
      <c r="F49" t="str">
        <f>Table_Query_from_sql1[[#This Row],[DateFormatted]]&amp;Table_Query_from_sql1[[#This Row],[Ticker]]</f>
        <v>43270ABBV</v>
      </c>
    </row>
    <row r="50" spans="1:6" x14ac:dyDescent="0.25">
      <c r="A50" t="s">
        <v>255</v>
      </c>
      <c r="B50" t="s">
        <v>256</v>
      </c>
      <c r="C50" s="2">
        <v>2.4456199067615743E-3</v>
      </c>
      <c r="D50" s="2" t="s">
        <v>53</v>
      </c>
      <c r="E50" s="4">
        <f>IF(LEN(Table_Query_from_sql1[[#This Row],[Date]])&gt;0,DATE(LEFT(Table_Query_from_sql1[[#This Row],[Date]],4),MID(Table_Query_from_sql1[[#This Row],[Date]],6,2),RIGHT(Table_Query_from_sql1[[#This Row],[Date]],2)),"")</f>
        <v>43271</v>
      </c>
      <c r="F50" t="str">
        <f>Table_Query_from_sql1[[#This Row],[DateFormatted]]&amp;Table_Query_from_sql1[[#This Row],[Ticker]]</f>
        <v>43271ABBV</v>
      </c>
    </row>
    <row r="51" spans="1:6" x14ac:dyDescent="0.25">
      <c r="A51" t="s">
        <v>255</v>
      </c>
      <c r="B51" t="s">
        <v>256</v>
      </c>
      <c r="C51" s="2">
        <v>-2.7864775824054021E-2</v>
      </c>
      <c r="D51" s="2" t="s">
        <v>54</v>
      </c>
      <c r="E51" s="4">
        <f>IF(LEN(Table_Query_from_sql1[[#This Row],[Date]])&gt;0,DATE(LEFT(Table_Query_from_sql1[[#This Row],[Date]],4),MID(Table_Query_from_sql1[[#This Row],[Date]],6,2),RIGHT(Table_Query_from_sql1[[#This Row],[Date]],2)),"")</f>
        <v>43272</v>
      </c>
      <c r="F51" t="str">
        <f>Table_Query_from_sql1[[#This Row],[DateFormatted]]&amp;Table_Query_from_sql1[[#This Row],[Ticker]]</f>
        <v>43272ABBV</v>
      </c>
    </row>
    <row r="52" spans="1:6" x14ac:dyDescent="0.25">
      <c r="A52" t="s">
        <v>255</v>
      </c>
      <c r="B52" t="s">
        <v>256</v>
      </c>
      <c r="C52" s="2">
        <v>-2.1795783671389256E-2</v>
      </c>
      <c r="D52" s="2" t="s">
        <v>55</v>
      </c>
      <c r="E52" s="4">
        <f>IF(LEN(Table_Query_from_sql1[[#This Row],[Date]])&gt;0,DATE(LEFT(Table_Query_from_sql1[[#This Row],[Date]],4),MID(Table_Query_from_sql1[[#This Row],[Date]],6,2),RIGHT(Table_Query_from_sql1[[#This Row],[Date]],2)),"")</f>
        <v>43273</v>
      </c>
      <c r="F52" t="str">
        <f>Table_Query_from_sql1[[#This Row],[DateFormatted]]&amp;Table_Query_from_sql1[[#This Row],[Ticker]]</f>
        <v>43273ABBV</v>
      </c>
    </row>
    <row r="53" spans="1:6" x14ac:dyDescent="0.25">
      <c r="A53" t="s">
        <v>255</v>
      </c>
      <c r="B53" t="s">
        <v>256</v>
      </c>
      <c r="C53" s="2">
        <v>-4.7172695228255984E-3</v>
      </c>
      <c r="D53" s="2" t="s">
        <v>56</v>
      </c>
      <c r="E53" s="4">
        <f>IF(LEN(Table_Query_from_sql1[[#This Row],[Date]])&gt;0,DATE(LEFT(Table_Query_from_sql1[[#This Row],[Date]],4),MID(Table_Query_from_sql1[[#This Row],[Date]],6,2),RIGHT(Table_Query_from_sql1[[#This Row],[Date]],2)),"")</f>
        <v>43276</v>
      </c>
      <c r="F53" t="str">
        <f>Table_Query_from_sql1[[#This Row],[DateFormatted]]&amp;Table_Query_from_sql1[[#This Row],[Ticker]]</f>
        <v>43276ABBV</v>
      </c>
    </row>
    <row r="54" spans="1:6" x14ac:dyDescent="0.25">
      <c r="A54" t="s">
        <v>255</v>
      </c>
      <c r="B54" t="s">
        <v>256</v>
      </c>
      <c r="C54" s="2">
        <v>-1.0044703640320654E-2</v>
      </c>
      <c r="D54" s="2" t="s">
        <v>57</v>
      </c>
      <c r="E54" s="4">
        <f>IF(LEN(Table_Query_from_sql1[[#This Row],[Date]])&gt;0,DATE(LEFT(Table_Query_from_sql1[[#This Row],[Date]],4),MID(Table_Query_from_sql1[[#This Row],[Date]],6,2),RIGHT(Table_Query_from_sql1[[#This Row],[Date]],2)),"")</f>
        <v>43277</v>
      </c>
      <c r="F54" t="str">
        <f>Table_Query_from_sql1[[#This Row],[DateFormatted]]&amp;Table_Query_from_sql1[[#This Row],[Ticker]]</f>
        <v>43277ABBV</v>
      </c>
    </row>
    <row r="55" spans="1:6" x14ac:dyDescent="0.25">
      <c r="A55" t="s">
        <v>255</v>
      </c>
      <c r="B55" t="s">
        <v>256</v>
      </c>
      <c r="C55" s="2">
        <v>-6.6437797918326141E-3</v>
      </c>
      <c r="D55" s="2" t="s">
        <v>58</v>
      </c>
      <c r="E55" s="4">
        <f>IF(LEN(Table_Query_from_sql1[[#This Row],[Date]])&gt;0,DATE(LEFT(Table_Query_from_sql1[[#This Row],[Date]],4),MID(Table_Query_from_sql1[[#This Row],[Date]],6,2),RIGHT(Table_Query_from_sql1[[#This Row],[Date]],2)),"")</f>
        <v>43278</v>
      </c>
      <c r="F55" t="str">
        <f>Table_Query_from_sql1[[#This Row],[DateFormatted]]&amp;Table_Query_from_sql1[[#This Row],[Ticker]]</f>
        <v>43278ABBV</v>
      </c>
    </row>
    <row r="56" spans="1:6" x14ac:dyDescent="0.25">
      <c r="A56" t="s">
        <v>255</v>
      </c>
      <c r="B56" t="s">
        <v>256</v>
      </c>
      <c r="C56" s="2">
        <v>1.0002864763970677E-2</v>
      </c>
      <c r="D56" s="2" t="s">
        <v>59</v>
      </c>
      <c r="E56" s="4">
        <f>IF(LEN(Table_Query_from_sql1[[#This Row],[Date]])&gt;0,DATE(LEFT(Table_Query_from_sql1[[#This Row],[Date]],4),MID(Table_Query_from_sql1[[#This Row],[Date]],6,2),RIGHT(Table_Query_from_sql1[[#This Row],[Date]],2)),"")</f>
        <v>43279</v>
      </c>
      <c r="F56" t="str">
        <f>Table_Query_from_sql1[[#This Row],[DateFormatted]]&amp;Table_Query_from_sql1[[#This Row],[Ticker]]</f>
        <v>43279ABBV</v>
      </c>
    </row>
    <row r="57" spans="1:6" x14ac:dyDescent="0.25">
      <c r="A57" t="s">
        <v>255</v>
      </c>
      <c r="B57" t="s">
        <v>256</v>
      </c>
      <c r="C57" s="2">
        <v>2.3777957130431604E-3</v>
      </c>
      <c r="D57" s="2" t="s">
        <v>60</v>
      </c>
      <c r="E57" s="4">
        <f>IF(LEN(Table_Query_from_sql1[[#This Row],[Date]])&gt;0,DATE(LEFT(Table_Query_from_sql1[[#This Row],[Date]],4),MID(Table_Query_from_sql1[[#This Row],[Date]],6,2),RIGHT(Table_Query_from_sql1[[#This Row],[Date]],2)),"")</f>
        <v>43280</v>
      </c>
      <c r="F57" t="str">
        <f>Table_Query_from_sql1[[#This Row],[DateFormatted]]&amp;Table_Query_from_sql1[[#This Row],[Ticker]]</f>
        <v>43280ABBV</v>
      </c>
    </row>
    <row r="58" spans="1:6" x14ac:dyDescent="0.25">
      <c r="A58" t="s">
        <v>255</v>
      </c>
      <c r="B58" t="s">
        <v>256</v>
      </c>
      <c r="C58" s="2">
        <v>4.9518437992587365E-3</v>
      </c>
      <c r="D58" s="2" t="s">
        <v>61</v>
      </c>
      <c r="E58" s="4">
        <f>IF(LEN(Table_Query_from_sql1[[#This Row],[Date]])&gt;0,DATE(LEFT(Table_Query_from_sql1[[#This Row],[Date]],4),MID(Table_Query_from_sql1[[#This Row],[Date]],6,2),RIGHT(Table_Query_from_sql1[[#This Row],[Date]],2)),"")</f>
        <v>43283</v>
      </c>
      <c r="F58" t="str">
        <f>Table_Query_from_sql1[[#This Row],[DateFormatted]]&amp;Table_Query_from_sql1[[#This Row],[Ticker]]</f>
        <v>43283ABBV</v>
      </c>
    </row>
    <row r="59" spans="1:6" x14ac:dyDescent="0.25">
      <c r="A59" t="s">
        <v>255</v>
      </c>
      <c r="B59" t="s">
        <v>256</v>
      </c>
      <c r="C59" s="2">
        <v>5.3559240665097263E-3</v>
      </c>
      <c r="D59" s="2" t="s">
        <v>62</v>
      </c>
      <c r="E59" s="4">
        <f>IF(LEN(Table_Query_from_sql1[[#This Row],[Date]])&gt;0,DATE(LEFT(Table_Query_from_sql1[[#This Row],[Date]],4),MID(Table_Query_from_sql1[[#This Row],[Date]],6,2),RIGHT(Table_Query_from_sql1[[#This Row],[Date]],2)),"")</f>
        <v>43284</v>
      </c>
      <c r="F59" t="str">
        <f>Table_Query_from_sql1[[#This Row],[DateFormatted]]&amp;Table_Query_from_sql1[[#This Row],[Ticker]]</f>
        <v>43284ABBV</v>
      </c>
    </row>
    <row r="60" spans="1:6" x14ac:dyDescent="0.25">
      <c r="A60" t="s">
        <v>255</v>
      </c>
      <c r="B60" t="s">
        <v>256</v>
      </c>
      <c r="C60" s="2">
        <v>9.2513372355025377E-3</v>
      </c>
      <c r="D60" s="2" t="s">
        <v>63</v>
      </c>
      <c r="E60" s="4">
        <f>IF(LEN(Table_Query_from_sql1[[#This Row],[Date]])&gt;0,DATE(LEFT(Table_Query_from_sql1[[#This Row],[Date]],4),MID(Table_Query_from_sql1[[#This Row],[Date]],6,2),RIGHT(Table_Query_from_sql1[[#This Row],[Date]],2)),"")</f>
        <v>43286</v>
      </c>
      <c r="F60" t="str">
        <f>Table_Query_from_sql1[[#This Row],[DateFormatted]]&amp;Table_Query_from_sql1[[#This Row],[Ticker]]</f>
        <v>43286ABBV</v>
      </c>
    </row>
    <row r="61" spans="1:6" x14ac:dyDescent="0.25">
      <c r="A61" t="s">
        <v>255</v>
      </c>
      <c r="B61" t="s">
        <v>256</v>
      </c>
      <c r="C61" s="2">
        <v>2.5497578683883866E-2</v>
      </c>
      <c r="D61" s="2" t="s">
        <v>64</v>
      </c>
      <c r="E61" s="4">
        <f>IF(LEN(Table_Query_from_sql1[[#This Row],[Date]])&gt;0,DATE(LEFT(Table_Query_from_sql1[[#This Row],[Date]],4),MID(Table_Query_from_sql1[[#This Row],[Date]],6,2),RIGHT(Table_Query_from_sql1[[#This Row],[Date]],2)),"")</f>
        <v>43287</v>
      </c>
      <c r="F61" t="str">
        <f>Table_Query_from_sql1[[#This Row],[DateFormatted]]&amp;Table_Query_from_sql1[[#This Row],[Ticker]]</f>
        <v>43287ABBV</v>
      </c>
    </row>
    <row r="62" spans="1:6" x14ac:dyDescent="0.25">
      <c r="A62" t="s">
        <v>255</v>
      </c>
      <c r="B62" t="s">
        <v>256</v>
      </c>
      <c r="C62" s="2">
        <v>1.2373093460727163E-3</v>
      </c>
      <c r="D62" s="2" t="s">
        <v>65</v>
      </c>
      <c r="E62" s="4">
        <f>IF(LEN(Table_Query_from_sql1[[#This Row],[Date]])&gt;0,DATE(LEFT(Table_Query_from_sql1[[#This Row],[Date]],4),MID(Table_Query_from_sql1[[#This Row],[Date]],6,2),RIGHT(Table_Query_from_sql1[[#This Row],[Date]],2)),"")</f>
        <v>43290</v>
      </c>
      <c r="F62" t="str">
        <f>Table_Query_from_sql1[[#This Row],[DateFormatted]]&amp;Table_Query_from_sql1[[#This Row],[Ticker]]</f>
        <v>43290ABBV</v>
      </c>
    </row>
    <row r="63" spans="1:6" x14ac:dyDescent="0.25">
      <c r="A63" t="s">
        <v>255</v>
      </c>
      <c r="B63" t="s">
        <v>256</v>
      </c>
      <c r="C63" s="2">
        <v>1.8379289326507092E-2</v>
      </c>
      <c r="D63" s="2" t="s">
        <v>66</v>
      </c>
      <c r="E63" s="4">
        <f>IF(LEN(Table_Query_from_sql1[[#This Row],[Date]])&gt;0,DATE(LEFT(Table_Query_from_sql1[[#This Row],[Date]],4),MID(Table_Query_from_sql1[[#This Row],[Date]],6,2),RIGHT(Table_Query_from_sql1[[#This Row],[Date]],2)),"")</f>
        <v>43291</v>
      </c>
      <c r="F63" t="str">
        <f>Table_Query_from_sql1[[#This Row],[DateFormatted]]&amp;Table_Query_from_sql1[[#This Row],[Ticker]]</f>
        <v>43291ABBV</v>
      </c>
    </row>
    <row r="64" spans="1:6" x14ac:dyDescent="0.25">
      <c r="A64" t="s">
        <v>255</v>
      </c>
      <c r="B64" t="s">
        <v>256</v>
      </c>
      <c r="C64" s="2">
        <v>-4.0046842243815869E-2</v>
      </c>
      <c r="D64" s="2" t="s">
        <v>67</v>
      </c>
      <c r="E64" s="4">
        <f>IF(LEN(Table_Query_from_sql1[[#This Row],[Date]])&gt;0,DATE(LEFT(Table_Query_from_sql1[[#This Row],[Date]],4),MID(Table_Query_from_sql1[[#This Row],[Date]],6,2),RIGHT(Table_Query_from_sql1[[#This Row],[Date]],2)),"")</f>
        <v>43292</v>
      </c>
      <c r="F64" t="str">
        <f>Table_Query_from_sql1[[#This Row],[DateFormatted]]&amp;Table_Query_from_sql1[[#This Row],[Ticker]]</f>
        <v>43292ABBV</v>
      </c>
    </row>
    <row r="65" spans="1:6" x14ac:dyDescent="0.25">
      <c r="A65" t="s">
        <v>255</v>
      </c>
      <c r="B65" t="s">
        <v>256</v>
      </c>
      <c r="C65" s="2">
        <v>1.6983078564656237E-2</v>
      </c>
      <c r="D65" s="2" t="s">
        <v>68</v>
      </c>
      <c r="E65" s="4">
        <f>IF(LEN(Table_Query_from_sql1[[#This Row],[Date]])&gt;0,DATE(LEFT(Table_Query_from_sql1[[#This Row],[Date]],4),MID(Table_Query_from_sql1[[#This Row],[Date]],6,2),RIGHT(Table_Query_from_sql1[[#This Row],[Date]],2)),"")</f>
        <v>43293</v>
      </c>
      <c r="F65" t="str">
        <f>Table_Query_from_sql1[[#This Row],[DateFormatted]]&amp;Table_Query_from_sql1[[#This Row],[Ticker]]</f>
        <v>43293ABBV</v>
      </c>
    </row>
    <row r="66" spans="1:6" x14ac:dyDescent="0.25">
      <c r="A66" t="s">
        <v>255</v>
      </c>
      <c r="B66" t="s">
        <v>256</v>
      </c>
      <c r="C66" s="2">
        <v>1.0612082082874324E-2</v>
      </c>
      <c r="D66" s="2" t="s">
        <v>69</v>
      </c>
      <c r="E66" s="4">
        <f>IF(LEN(Table_Query_from_sql1[[#This Row],[Date]])&gt;0,DATE(LEFT(Table_Query_from_sql1[[#This Row],[Date]],4),MID(Table_Query_from_sql1[[#This Row],[Date]],6,2),RIGHT(Table_Query_from_sql1[[#This Row],[Date]],2)),"")</f>
        <v>43294</v>
      </c>
      <c r="F66" t="str">
        <f>Table_Query_from_sql1[[#This Row],[DateFormatted]]&amp;Table_Query_from_sql1[[#This Row],[Ticker]]</f>
        <v>43294ABBV</v>
      </c>
    </row>
    <row r="67" spans="1:6" x14ac:dyDescent="0.25">
      <c r="A67" t="s">
        <v>255</v>
      </c>
      <c r="B67" t="s">
        <v>256</v>
      </c>
      <c r="C67" s="2">
        <v>-3.9400368379629534E-3</v>
      </c>
      <c r="D67" s="2" t="s">
        <v>70</v>
      </c>
      <c r="E67" s="4">
        <f>IF(LEN(Table_Query_from_sql1[[#This Row],[Date]])&gt;0,DATE(LEFT(Table_Query_from_sql1[[#This Row],[Date]],4),MID(Table_Query_from_sql1[[#This Row],[Date]],6,2),RIGHT(Table_Query_from_sql1[[#This Row],[Date]],2)),"")</f>
        <v>43297</v>
      </c>
      <c r="F67" t="str">
        <f>Table_Query_from_sql1[[#This Row],[DateFormatted]]&amp;Table_Query_from_sql1[[#This Row],[Ticker]]</f>
        <v>43297ABBV</v>
      </c>
    </row>
    <row r="68" spans="1:6" x14ac:dyDescent="0.25">
      <c r="A68" t="s">
        <v>255</v>
      </c>
      <c r="B68" t="s">
        <v>256</v>
      </c>
      <c r="C68" s="2">
        <v>-8.7662217914101E-3</v>
      </c>
      <c r="D68" s="2" t="s">
        <v>71</v>
      </c>
      <c r="E68" s="4">
        <f>IF(LEN(Table_Query_from_sql1[[#This Row],[Date]])&gt;0,DATE(LEFT(Table_Query_from_sql1[[#This Row],[Date]],4),MID(Table_Query_from_sql1[[#This Row],[Date]],6,2),RIGHT(Table_Query_from_sql1[[#This Row],[Date]],2)),"")</f>
        <v>43298</v>
      </c>
      <c r="F68" t="str">
        <f>Table_Query_from_sql1[[#This Row],[DateFormatted]]&amp;Table_Query_from_sql1[[#This Row],[Ticker]]</f>
        <v>43298ABBV</v>
      </c>
    </row>
    <row r="69" spans="1:6" x14ac:dyDescent="0.25">
      <c r="A69" t="s">
        <v>255</v>
      </c>
      <c r="B69" t="s">
        <v>256</v>
      </c>
      <c r="C69" s="2">
        <v>-1.0642297530706432E-2</v>
      </c>
      <c r="D69" s="2" t="s">
        <v>72</v>
      </c>
      <c r="E69" s="4">
        <f>IF(LEN(Table_Query_from_sql1[[#This Row],[Date]])&gt;0,DATE(LEFT(Table_Query_from_sql1[[#This Row],[Date]],4),MID(Table_Query_from_sql1[[#This Row],[Date]],6,2),RIGHT(Table_Query_from_sql1[[#This Row],[Date]],2)),"")</f>
        <v>43299</v>
      </c>
      <c r="F69" t="str">
        <f>Table_Query_from_sql1[[#This Row],[DateFormatted]]&amp;Table_Query_from_sql1[[#This Row],[Ticker]]</f>
        <v>43299ABBV</v>
      </c>
    </row>
    <row r="70" spans="1:6" x14ac:dyDescent="0.25">
      <c r="A70" t="s">
        <v>255</v>
      </c>
      <c r="B70" t="s">
        <v>256</v>
      </c>
      <c r="C70" s="2">
        <v>-4.8286493449234927E-2</v>
      </c>
      <c r="D70" s="2" t="s">
        <v>73</v>
      </c>
      <c r="E70" s="4">
        <f>IF(LEN(Table_Query_from_sql1[[#This Row],[Date]])&gt;0,DATE(LEFT(Table_Query_from_sql1[[#This Row],[Date]],4),MID(Table_Query_from_sql1[[#This Row],[Date]],6,2),RIGHT(Table_Query_from_sql1[[#This Row],[Date]],2)),"")</f>
        <v>43300</v>
      </c>
      <c r="F70" t="str">
        <f>Table_Query_from_sql1[[#This Row],[DateFormatted]]&amp;Table_Query_from_sql1[[#This Row],[Ticker]]</f>
        <v>43300ABBV</v>
      </c>
    </row>
    <row r="71" spans="1:6" x14ac:dyDescent="0.25">
      <c r="A71" t="s">
        <v>255</v>
      </c>
      <c r="B71" t="s">
        <v>256</v>
      </c>
      <c r="C71" s="2">
        <v>-1.1630193073996601E-2</v>
      </c>
      <c r="D71" s="2" t="s">
        <v>74</v>
      </c>
      <c r="E71" s="4">
        <f>IF(LEN(Table_Query_from_sql1[[#This Row],[Date]])&gt;0,DATE(LEFT(Table_Query_from_sql1[[#This Row],[Date]],4),MID(Table_Query_from_sql1[[#This Row],[Date]],6,2),RIGHT(Table_Query_from_sql1[[#This Row],[Date]],2)),"")</f>
        <v>43301</v>
      </c>
      <c r="F71" t="str">
        <f>Table_Query_from_sql1[[#This Row],[DateFormatted]]&amp;Table_Query_from_sql1[[#This Row],[Ticker]]</f>
        <v>43301ABBV</v>
      </c>
    </row>
    <row r="72" spans="1:6" x14ac:dyDescent="0.25">
      <c r="A72" t="s">
        <v>255</v>
      </c>
      <c r="B72" t="s">
        <v>256</v>
      </c>
      <c r="C72" s="2">
        <v>5.4967513713449845E-3</v>
      </c>
      <c r="D72" s="2" t="s">
        <v>75</v>
      </c>
      <c r="E72" s="4">
        <f>IF(LEN(Table_Query_from_sql1[[#This Row],[Date]])&gt;0,DATE(LEFT(Table_Query_from_sql1[[#This Row],[Date]],4),MID(Table_Query_from_sql1[[#This Row],[Date]],6,2),RIGHT(Table_Query_from_sql1[[#This Row],[Date]],2)),"")</f>
        <v>43304</v>
      </c>
      <c r="F72" t="str">
        <f>Table_Query_from_sql1[[#This Row],[DateFormatted]]&amp;Table_Query_from_sql1[[#This Row],[Ticker]]</f>
        <v>43304ABBV</v>
      </c>
    </row>
    <row r="73" spans="1:6" x14ac:dyDescent="0.25">
      <c r="A73" t="s">
        <v>255</v>
      </c>
      <c r="B73" t="s">
        <v>256</v>
      </c>
      <c r="C73" s="2">
        <v>2.3655388800686534E-2</v>
      </c>
      <c r="D73" s="2" t="s">
        <v>76</v>
      </c>
      <c r="E73" s="4">
        <f>IF(LEN(Table_Query_from_sql1[[#This Row],[Date]])&gt;0,DATE(LEFT(Table_Query_from_sql1[[#This Row],[Date]],4),MID(Table_Query_from_sql1[[#This Row],[Date]],6,2),RIGHT(Table_Query_from_sql1[[#This Row],[Date]],2)),"")</f>
        <v>43305</v>
      </c>
      <c r="F73" t="str">
        <f>Table_Query_from_sql1[[#This Row],[DateFormatted]]&amp;Table_Query_from_sql1[[#This Row],[Ticker]]</f>
        <v>43305ABBV</v>
      </c>
    </row>
    <row r="74" spans="1:6" x14ac:dyDescent="0.25">
      <c r="A74" t="s">
        <v>255</v>
      </c>
      <c r="B74" t="s">
        <v>256</v>
      </c>
      <c r="C74" s="2">
        <v>1.7112542842873581E-2</v>
      </c>
      <c r="D74" s="2" t="s">
        <v>77</v>
      </c>
      <c r="E74" s="4">
        <f>IF(LEN(Table_Query_from_sql1[[#This Row],[Date]])&gt;0,DATE(LEFT(Table_Query_from_sql1[[#This Row],[Date]],4),MID(Table_Query_from_sql1[[#This Row],[Date]],6,2),RIGHT(Table_Query_from_sql1[[#This Row],[Date]],2)),"")</f>
        <v>43306</v>
      </c>
      <c r="F74" t="str">
        <f>Table_Query_from_sql1[[#This Row],[DateFormatted]]&amp;Table_Query_from_sql1[[#This Row],[Ticker]]</f>
        <v>43306ABBV</v>
      </c>
    </row>
    <row r="75" spans="1:6" x14ac:dyDescent="0.25">
      <c r="A75" t="s">
        <v>255</v>
      </c>
      <c r="B75" t="s">
        <v>256</v>
      </c>
      <c r="C75" s="2">
        <v>8.7673946246576411E-3</v>
      </c>
      <c r="D75" s="2" t="s">
        <v>78</v>
      </c>
      <c r="E75" s="4">
        <f>IF(LEN(Table_Query_from_sql1[[#This Row],[Date]])&gt;0,DATE(LEFT(Table_Query_from_sql1[[#This Row],[Date]],4),MID(Table_Query_from_sql1[[#This Row],[Date]],6,2),RIGHT(Table_Query_from_sql1[[#This Row],[Date]],2)),"")</f>
        <v>43307</v>
      </c>
      <c r="F75" t="str">
        <f>Table_Query_from_sql1[[#This Row],[DateFormatted]]&amp;Table_Query_from_sql1[[#This Row],[Ticker]]</f>
        <v>43307ABBV</v>
      </c>
    </row>
    <row r="76" spans="1:6" x14ac:dyDescent="0.25">
      <c r="A76" t="s">
        <v>255</v>
      </c>
      <c r="B76" t="s">
        <v>256</v>
      </c>
      <c r="C76" s="2">
        <v>-3.6643585568482545E-2</v>
      </c>
      <c r="D76" s="2" t="s">
        <v>79</v>
      </c>
      <c r="E76" s="4">
        <f>IF(LEN(Table_Query_from_sql1[[#This Row],[Date]])&gt;0,DATE(LEFT(Table_Query_from_sql1[[#This Row],[Date]],4),MID(Table_Query_from_sql1[[#This Row],[Date]],6,2),RIGHT(Table_Query_from_sql1[[#This Row],[Date]],2)),"")</f>
        <v>43308</v>
      </c>
      <c r="F76" t="str">
        <f>Table_Query_from_sql1[[#This Row],[DateFormatted]]&amp;Table_Query_from_sql1[[#This Row],[Ticker]]</f>
        <v>43308ABBV</v>
      </c>
    </row>
    <row r="77" spans="1:6" x14ac:dyDescent="0.25">
      <c r="A77" t="s">
        <v>255</v>
      </c>
      <c r="B77" t="s">
        <v>256</v>
      </c>
      <c r="C77" s="2">
        <v>9.779635980822354E-3</v>
      </c>
      <c r="D77" s="2" t="s">
        <v>80</v>
      </c>
      <c r="E77" s="4">
        <f>IF(LEN(Table_Query_from_sql1[[#This Row],[Date]])&gt;0,DATE(LEFT(Table_Query_from_sql1[[#This Row],[Date]],4),MID(Table_Query_from_sql1[[#This Row],[Date]],6,2),RIGHT(Table_Query_from_sql1[[#This Row],[Date]],2)),"")</f>
        <v>43311</v>
      </c>
      <c r="F77" t="str">
        <f>Table_Query_from_sql1[[#This Row],[DateFormatted]]&amp;Table_Query_from_sql1[[#This Row],[Ticker]]</f>
        <v>43311ABBV</v>
      </c>
    </row>
    <row r="78" spans="1:6" x14ac:dyDescent="0.25">
      <c r="A78" t="s">
        <v>255</v>
      </c>
      <c r="B78" t="s">
        <v>256</v>
      </c>
      <c r="C78" s="2">
        <v>8.493149853311302E-3</v>
      </c>
      <c r="D78" s="2" t="s">
        <v>81</v>
      </c>
      <c r="E78" s="4">
        <f>IF(LEN(Table_Query_from_sql1[[#This Row],[Date]])&gt;0,DATE(LEFT(Table_Query_from_sql1[[#This Row],[Date]],4),MID(Table_Query_from_sql1[[#This Row],[Date]],6,2),RIGHT(Table_Query_from_sql1[[#This Row],[Date]],2)),"")</f>
        <v>43312</v>
      </c>
      <c r="F78" t="str">
        <f>Table_Query_from_sql1[[#This Row],[DateFormatted]]&amp;Table_Query_from_sql1[[#This Row],[Ticker]]</f>
        <v>43312ABBV</v>
      </c>
    </row>
    <row r="79" spans="1:6" x14ac:dyDescent="0.25">
      <c r="A79" t="s">
        <v>255</v>
      </c>
      <c r="B79" t="s">
        <v>256</v>
      </c>
      <c r="C79" s="2">
        <v>1.8051644827683191E-2</v>
      </c>
      <c r="D79" s="2" t="s">
        <v>82</v>
      </c>
      <c r="E79" s="4">
        <f>IF(LEN(Table_Query_from_sql1[[#This Row],[Date]])&gt;0,DATE(LEFT(Table_Query_from_sql1[[#This Row],[Date]],4),MID(Table_Query_from_sql1[[#This Row],[Date]],6,2),RIGHT(Table_Query_from_sql1[[#This Row],[Date]],2)),"")</f>
        <v>43313</v>
      </c>
      <c r="F79" t="str">
        <f>Table_Query_from_sql1[[#This Row],[DateFormatted]]&amp;Table_Query_from_sql1[[#This Row],[Ticker]]</f>
        <v>43313ABBV</v>
      </c>
    </row>
    <row r="80" spans="1:6" x14ac:dyDescent="0.25">
      <c r="A80" t="s">
        <v>255</v>
      </c>
      <c r="B80" t="s">
        <v>256</v>
      </c>
      <c r="C80" s="2">
        <v>1.2802500865309589E-2</v>
      </c>
      <c r="D80" s="2" t="s">
        <v>83</v>
      </c>
      <c r="E80" s="4">
        <f>IF(LEN(Table_Query_from_sql1[[#This Row],[Date]])&gt;0,DATE(LEFT(Table_Query_from_sql1[[#This Row],[Date]],4),MID(Table_Query_from_sql1[[#This Row],[Date]],6,2),RIGHT(Table_Query_from_sql1[[#This Row],[Date]],2)),"")</f>
        <v>43314</v>
      </c>
      <c r="F80" t="str">
        <f>Table_Query_from_sql1[[#This Row],[DateFormatted]]&amp;Table_Query_from_sql1[[#This Row],[Ticker]]</f>
        <v>43314ABBV</v>
      </c>
    </row>
    <row r="81" spans="1:6" x14ac:dyDescent="0.25">
      <c r="A81" t="s">
        <v>255</v>
      </c>
      <c r="B81" t="s">
        <v>256</v>
      </c>
      <c r="C81" s="2">
        <v>1.4713802043286319E-2</v>
      </c>
      <c r="D81" s="2" t="s">
        <v>84</v>
      </c>
      <c r="E81" s="4">
        <f>IF(LEN(Table_Query_from_sql1[[#This Row],[Date]])&gt;0,DATE(LEFT(Table_Query_from_sql1[[#This Row],[Date]],4),MID(Table_Query_from_sql1[[#This Row],[Date]],6,2),RIGHT(Table_Query_from_sql1[[#This Row],[Date]],2)),"")</f>
        <v>43315</v>
      </c>
      <c r="F81" t="str">
        <f>Table_Query_from_sql1[[#This Row],[DateFormatted]]&amp;Table_Query_from_sql1[[#This Row],[Ticker]]</f>
        <v>43315ABBV</v>
      </c>
    </row>
    <row r="82" spans="1:6" x14ac:dyDescent="0.25">
      <c r="A82" t="s">
        <v>255</v>
      </c>
      <c r="B82" t="s">
        <v>256</v>
      </c>
      <c r="C82" s="2">
        <v>5.4761703131251775E-3</v>
      </c>
      <c r="D82" s="2" t="s">
        <v>85</v>
      </c>
      <c r="E82" s="4">
        <f>IF(LEN(Table_Query_from_sql1[[#This Row],[Date]])&gt;0,DATE(LEFT(Table_Query_from_sql1[[#This Row],[Date]],4),MID(Table_Query_from_sql1[[#This Row],[Date]],6,2),RIGHT(Table_Query_from_sql1[[#This Row],[Date]],2)),"")</f>
        <v>43318</v>
      </c>
      <c r="F82" t="str">
        <f>Table_Query_from_sql1[[#This Row],[DateFormatted]]&amp;Table_Query_from_sql1[[#This Row],[Ticker]]</f>
        <v>43318ABBV</v>
      </c>
    </row>
    <row r="83" spans="1:6" x14ac:dyDescent="0.25">
      <c r="A83" t="s">
        <v>255</v>
      </c>
      <c r="B83" t="s">
        <v>256</v>
      </c>
      <c r="C83" s="2">
        <v>-3.1396628609574088E-2</v>
      </c>
      <c r="D83" s="2" t="s">
        <v>86</v>
      </c>
      <c r="E83" s="4">
        <f>IF(LEN(Table_Query_from_sql1[[#This Row],[Date]])&gt;0,DATE(LEFT(Table_Query_from_sql1[[#This Row],[Date]],4),MID(Table_Query_from_sql1[[#This Row],[Date]],6,2),RIGHT(Table_Query_from_sql1[[#This Row],[Date]],2)),"")</f>
        <v>43319</v>
      </c>
      <c r="F83" t="str">
        <f>Table_Query_from_sql1[[#This Row],[DateFormatted]]&amp;Table_Query_from_sql1[[#This Row],[Ticker]]</f>
        <v>43319ABBV</v>
      </c>
    </row>
    <row r="84" spans="1:6" x14ac:dyDescent="0.25">
      <c r="A84" t="s">
        <v>255</v>
      </c>
      <c r="B84" t="s">
        <v>256</v>
      </c>
      <c r="C84" s="2">
        <v>-3.5150991349366359E-3</v>
      </c>
      <c r="D84" s="2" t="s">
        <v>87</v>
      </c>
      <c r="E84" s="4">
        <f>IF(LEN(Table_Query_from_sql1[[#This Row],[Date]])&gt;0,DATE(LEFT(Table_Query_from_sql1[[#This Row],[Date]],4),MID(Table_Query_from_sql1[[#This Row],[Date]],6,2),RIGHT(Table_Query_from_sql1[[#This Row],[Date]],2)),"")</f>
        <v>43320</v>
      </c>
      <c r="F84" t="str">
        <f>Table_Query_from_sql1[[#This Row],[DateFormatted]]&amp;Table_Query_from_sql1[[#This Row],[Ticker]]</f>
        <v>43320ABBV</v>
      </c>
    </row>
    <row r="85" spans="1:6" x14ac:dyDescent="0.25">
      <c r="A85" t="s">
        <v>255</v>
      </c>
      <c r="B85" t="s">
        <v>256</v>
      </c>
      <c r="C85" s="2">
        <v>1.8394565240838136E-2</v>
      </c>
      <c r="D85" s="2" t="s">
        <v>88</v>
      </c>
      <c r="E85" s="4">
        <f>IF(LEN(Table_Query_from_sql1[[#This Row],[Date]])&gt;0,DATE(LEFT(Table_Query_from_sql1[[#This Row],[Date]],4),MID(Table_Query_from_sql1[[#This Row],[Date]],6,2),RIGHT(Table_Query_from_sql1[[#This Row],[Date]],2)),"")</f>
        <v>43321</v>
      </c>
      <c r="F85" t="str">
        <f>Table_Query_from_sql1[[#This Row],[DateFormatted]]&amp;Table_Query_from_sql1[[#This Row],[Ticker]]</f>
        <v>43321ABBV</v>
      </c>
    </row>
    <row r="86" spans="1:6" x14ac:dyDescent="0.25">
      <c r="A86" t="s">
        <v>255</v>
      </c>
      <c r="B86" t="s">
        <v>256</v>
      </c>
      <c r="C86" s="2">
        <v>3.4500739480450332E-3</v>
      </c>
      <c r="D86" s="2" t="s">
        <v>89</v>
      </c>
      <c r="E86" s="4">
        <f>IF(LEN(Table_Query_from_sql1[[#This Row],[Date]])&gt;0,DATE(LEFT(Table_Query_from_sql1[[#This Row],[Date]],4),MID(Table_Query_from_sql1[[#This Row],[Date]],6,2),RIGHT(Table_Query_from_sql1[[#This Row],[Date]],2)),"")</f>
        <v>43322</v>
      </c>
      <c r="F86" t="str">
        <f>Table_Query_from_sql1[[#This Row],[DateFormatted]]&amp;Table_Query_from_sql1[[#This Row],[Ticker]]</f>
        <v>43322ABBV</v>
      </c>
    </row>
    <row r="87" spans="1:6" x14ac:dyDescent="0.25">
      <c r="A87" t="s">
        <v>255</v>
      </c>
      <c r="B87" t="s">
        <v>256</v>
      </c>
      <c r="C87" s="2">
        <v>1.0177893994410568E-2</v>
      </c>
      <c r="D87" s="2" t="s">
        <v>90</v>
      </c>
      <c r="E87" s="4">
        <f>IF(LEN(Table_Query_from_sql1[[#This Row],[Date]])&gt;0,DATE(LEFT(Table_Query_from_sql1[[#This Row],[Date]],4),MID(Table_Query_from_sql1[[#This Row],[Date]],6,2),RIGHT(Table_Query_from_sql1[[#This Row],[Date]],2)),"")</f>
        <v>43325</v>
      </c>
      <c r="F87" t="str">
        <f>Table_Query_from_sql1[[#This Row],[DateFormatted]]&amp;Table_Query_from_sql1[[#This Row],[Ticker]]</f>
        <v>43325ABBV</v>
      </c>
    </row>
    <row r="88" spans="1:6" x14ac:dyDescent="0.25">
      <c r="A88" t="s">
        <v>255</v>
      </c>
      <c r="B88" t="s">
        <v>256</v>
      </c>
      <c r="C88" s="2">
        <v>-8.9259760647138683E-3</v>
      </c>
      <c r="D88" s="2" t="s">
        <v>91</v>
      </c>
      <c r="E88" s="4">
        <f>IF(LEN(Table_Query_from_sql1[[#This Row],[Date]])&gt;0,DATE(LEFT(Table_Query_from_sql1[[#This Row],[Date]],4),MID(Table_Query_from_sql1[[#This Row],[Date]],6,2),RIGHT(Table_Query_from_sql1[[#This Row],[Date]],2)),"")</f>
        <v>43326</v>
      </c>
      <c r="F88" t="str">
        <f>Table_Query_from_sql1[[#This Row],[DateFormatted]]&amp;Table_Query_from_sql1[[#This Row],[Ticker]]</f>
        <v>43326ABBV</v>
      </c>
    </row>
    <row r="89" spans="1:6" x14ac:dyDescent="0.25">
      <c r="A89" t="s">
        <v>255</v>
      </c>
      <c r="B89" t="s">
        <v>256</v>
      </c>
      <c r="C89" s="2">
        <v>1.5825283321725964E-2</v>
      </c>
      <c r="D89" s="2" t="s">
        <v>92</v>
      </c>
      <c r="E89" s="4">
        <f>IF(LEN(Table_Query_from_sql1[[#This Row],[Date]])&gt;0,DATE(LEFT(Table_Query_from_sql1[[#This Row],[Date]],4),MID(Table_Query_from_sql1[[#This Row],[Date]],6,2),RIGHT(Table_Query_from_sql1[[#This Row],[Date]],2)),"")</f>
        <v>43327</v>
      </c>
      <c r="F89" t="str">
        <f>Table_Query_from_sql1[[#This Row],[DateFormatted]]&amp;Table_Query_from_sql1[[#This Row],[Ticker]]</f>
        <v>43327ABBV</v>
      </c>
    </row>
    <row r="90" spans="1:6" x14ac:dyDescent="0.25">
      <c r="A90" t="s">
        <v>255</v>
      </c>
      <c r="B90" t="s">
        <v>256</v>
      </c>
      <c r="C90" s="2">
        <v>7.870227506507026E-3</v>
      </c>
      <c r="D90" s="2" t="s">
        <v>93</v>
      </c>
      <c r="E90" s="4">
        <f>IF(LEN(Table_Query_from_sql1[[#This Row],[Date]])&gt;0,DATE(LEFT(Table_Query_from_sql1[[#This Row],[Date]],4),MID(Table_Query_from_sql1[[#This Row],[Date]],6,2),RIGHT(Table_Query_from_sql1[[#This Row],[Date]],2)),"")</f>
        <v>43328</v>
      </c>
      <c r="F90" t="str">
        <f>Table_Query_from_sql1[[#This Row],[DateFormatted]]&amp;Table_Query_from_sql1[[#This Row],[Ticker]]</f>
        <v>43328ABBV</v>
      </c>
    </row>
    <row r="91" spans="1:6" x14ac:dyDescent="0.25">
      <c r="A91" t="s">
        <v>255</v>
      </c>
      <c r="B91" t="s">
        <v>256</v>
      </c>
      <c r="C91" s="2">
        <v>5.989133227831879E-3</v>
      </c>
      <c r="D91" s="2" t="s">
        <v>94</v>
      </c>
      <c r="E91" s="4">
        <f>IF(LEN(Table_Query_from_sql1[[#This Row],[Date]])&gt;0,DATE(LEFT(Table_Query_from_sql1[[#This Row],[Date]],4),MID(Table_Query_from_sql1[[#This Row],[Date]],6,2),RIGHT(Table_Query_from_sql1[[#This Row],[Date]],2)),"")</f>
        <v>43329</v>
      </c>
      <c r="F91" t="str">
        <f>Table_Query_from_sql1[[#This Row],[DateFormatted]]&amp;Table_Query_from_sql1[[#This Row],[Ticker]]</f>
        <v>43329ABBV</v>
      </c>
    </row>
    <row r="92" spans="1:6" x14ac:dyDescent="0.25">
      <c r="A92" t="s">
        <v>255</v>
      </c>
      <c r="B92" t="s">
        <v>256</v>
      </c>
      <c r="C92" s="2">
        <v>-1.2014352404555576E-2</v>
      </c>
      <c r="D92" s="2" t="s">
        <v>95</v>
      </c>
      <c r="E92" s="4">
        <f>IF(LEN(Table_Query_from_sql1[[#This Row],[Date]])&gt;0,DATE(LEFT(Table_Query_from_sql1[[#This Row],[Date]],4),MID(Table_Query_from_sql1[[#This Row],[Date]],6,2),RIGHT(Table_Query_from_sql1[[#This Row],[Date]],2)),"")</f>
        <v>43332</v>
      </c>
      <c r="F92" t="str">
        <f>Table_Query_from_sql1[[#This Row],[DateFormatted]]&amp;Table_Query_from_sql1[[#This Row],[Ticker]]</f>
        <v>43332ABBV</v>
      </c>
    </row>
    <row r="93" spans="1:6" x14ac:dyDescent="0.25">
      <c r="A93" t="s">
        <v>255</v>
      </c>
      <c r="B93" t="s">
        <v>256</v>
      </c>
      <c r="C93" s="2">
        <v>1.1258897681330003E-3</v>
      </c>
      <c r="D93" s="2" t="s">
        <v>96</v>
      </c>
      <c r="E93" s="4">
        <f>IF(LEN(Table_Query_from_sql1[[#This Row],[Date]])&gt;0,DATE(LEFT(Table_Query_from_sql1[[#This Row],[Date]],4),MID(Table_Query_from_sql1[[#This Row],[Date]],6,2),RIGHT(Table_Query_from_sql1[[#This Row],[Date]],2)),"")</f>
        <v>43333</v>
      </c>
      <c r="F93" t="str">
        <f>Table_Query_from_sql1[[#This Row],[DateFormatted]]&amp;Table_Query_from_sql1[[#This Row],[Ticker]]</f>
        <v>43333ABBV</v>
      </c>
    </row>
    <row r="94" spans="1:6" x14ac:dyDescent="0.25">
      <c r="A94" t="s">
        <v>255</v>
      </c>
      <c r="B94" t="s">
        <v>256</v>
      </c>
      <c r="C94" s="2">
        <v>-1.0231979859003262E-3</v>
      </c>
      <c r="D94" s="2" t="s">
        <v>97</v>
      </c>
      <c r="E94" s="4">
        <f>IF(LEN(Table_Query_from_sql1[[#This Row],[Date]])&gt;0,DATE(LEFT(Table_Query_from_sql1[[#This Row],[Date]],4),MID(Table_Query_from_sql1[[#This Row],[Date]],6,2),RIGHT(Table_Query_from_sql1[[#This Row],[Date]],2)),"")</f>
        <v>43334</v>
      </c>
      <c r="F94" t="str">
        <f>Table_Query_from_sql1[[#This Row],[DateFormatted]]&amp;Table_Query_from_sql1[[#This Row],[Ticker]]</f>
        <v>43334ABBV</v>
      </c>
    </row>
    <row r="95" spans="1:6" x14ac:dyDescent="0.25">
      <c r="A95" t="s">
        <v>255</v>
      </c>
      <c r="B95" t="s">
        <v>256</v>
      </c>
      <c r="C95" s="2">
        <v>-5.0306498177953435E-3</v>
      </c>
      <c r="D95" s="2" t="s">
        <v>98</v>
      </c>
      <c r="E95" s="4">
        <f>IF(LEN(Table_Query_from_sql1[[#This Row],[Date]])&gt;0,DATE(LEFT(Table_Query_from_sql1[[#This Row],[Date]],4),MID(Table_Query_from_sql1[[#This Row],[Date]],6,2),RIGHT(Table_Query_from_sql1[[#This Row],[Date]],2)),"")</f>
        <v>43335</v>
      </c>
      <c r="F95" t="str">
        <f>Table_Query_from_sql1[[#This Row],[DateFormatted]]&amp;Table_Query_from_sql1[[#This Row],[Ticker]]</f>
        <v>43335ABBV</v>
      </c>
    </row>
    <row r="96" spans="1:6" x14ac:dyDescent="0.25">
      <c r="A96" t="s">
        <v>255</v>
      </c>
      <c r="B96" t="s">
        <v>256</v>
      </c>
      <c r="C96" s="2">
        <v>2.5694342084325583E-3</v>
      </c>
      <c r="D96" s="2" t="s">
        <v>99</v>
      </c>
      <c r="E96" s="4">
        <f>IF(LEN(Table_Query_from_sql1[[#This Row],[Date]])&gt;0,DATE(LEFT(Table_Query_from_sql1[[#This Row],[Date]],4),MID(Table_Query_from_sql1[[#This Row],[Date]],6,2),RIGHT(Table_Query_from_sql1[[#This Row],[Date]],2)),"")</f>
        <v>43336</v>
      </c>
      <c r="F96" t="str">
        <f>Table_Query_from_sql1[[#This Row],[DateFormatted]]&amp;Table_Query_from_sql1[[#This Row],[Ticker]]</f>
        <v>43336ABBV</v>
      </c>
    </row>
    <row r="97" spans="1:6" x14ac:dyDescent="0.25">
      <c r="A97" t="s">
        <v>255</v>
      </c>
      <c r="B97" t="s">
        <v>256</v>
      </c>
      <c r="C97" s="2">
        <v>6.3452720369589939E-3</v>
      </c>
      <c r="D97" s="2" t="s">
        <v>100</v>
      </c>
      <c r="E97" s="4">
        <f>IF(LEN(Table_Query_from_sql1[[#This Row],[Date]])&gt;0,DATE(LEFT(Table_Query_from_sql1[[#This Row],[Date]],4),MID(Table_Query_from_sql1[[#This Row],[Date]],6,2),RIGHT(Table_Query_from_sql1[[#This Row],[Date]],2)),"")</f>
        <v>43339</v>
      </c>
      <c r="F97" t="str">
        <f>Table_Query_from_sql1[[#This Row],[DateFormatted]]&amp;Table_Query_from_sql1[[#This Row],[Ticker]]</f>
        <v>43339ABBV</v>
      </c>
    </row>
    <row r="98" spans="1:6" x14ac:dyDescent="0.25">
      <c r="A98" t="s">
        <v>255</v>
      </c>
      <c r="B98" t="s">
        <v>256</v>
      </c>
      <c r="C98" s="2">
        <v>-7.7832575916496278E-3</v>
      </c>
      <c r="D98" s="2" t="s">
        <v>101</v>
      </c>
      <c r="E98" s="4">
        <f>IF(LEN(Table_Query_from_sql1[[#This Row],[Date]])&gt;0,DATE(LEFT(Table_Query_from_sql1[[#This Row],[Date]],4),MID(Table_Query_from_sql1[[#This Row],[Date]],6,2),RIGHT(Table_Query_from_sql1[[#This Row],[Date]],2)),"")</f>
        <v>43340</v>
      </c>
      <c r="F98" t="str">
        <f>Table_Query_from_sql1[[#This Row],[DateFormatted]]&amp;Table_Query_from_sql1[[#This Row],[Ticker]]</f>
        <v>43340ABBV</v>
      </c>
    </row>
    <row r="99" spans="1:6" x14ac:dyDescent="0.25">
      <c r="A99" t="s">
        <v>255</v>
      </c>
      <c r="B99" t="s">
        <v>256</v>
      </c>
      <c r="C99" s="2">
        <v>3.2839406939951391E-3</v>
      </c>
      <c r="D99" s="2" t="s">
        <v>102</v>
      </c>
      <c r="E99" s="4">
        <f>IF(LEN(Table_Query_from_sql1[[#This Row],[Date]])&gt;0,DATE(LEFT(Table_Query_from_sql1[[#This Row],[Date]],4),MID(Table_Query_from_sql1[[#This Row],[Date]],6,2),RIGHT(Table_Query_from_sql1[[#This Row],[Date]],2)),"")</f>
        <v>43341</v>
      </c>
      <c r="F99" t="str">
        <f>Table_Query_from_sql1[[#This Row],[DateFormatted]]&amp;Table_Query_from_sql1[[#This Row],[Ticker]]</f>
        <v>43341ABBV</v>
      </c>
    </row>
    <row r="100" spans="1:6" x14ac:dyDescent="0.25">
      <c r="A100" t="s">
        <v>255</v>
      </c>
      <c r="B100" t="s">
        <v>256</v>
      </c>
      <c r="C100" s="2">
        <v>-8.1281532565669438E-3</v>
      </c>
      <c r="D100" s="2" t="s">
        <v>103</v>
      </c>
      <c r="E100" s="4">
        <f>IF(LEN(Table_Query_from_sql1[[#This Row],[Date]])&gt;0,DATE(LEFT(Table_Query_from_sql1[[#This Row],[Date]],4),MID(Table_Query_from_sql1[[#This Row],[Date]],6,2),RIGHT(Table_Query_from_sql1[[#This Row],[Date]],2)),"")</f>
        <v>43342</v>
      </c>
      <c r="F100" t="str">
        <f>Table_Query_from_sql1[[#This Row],[DateFormatted]]&amp;Table_Query_from_sql1[[#This Row],[Ticker]]</f>
        <v>43342ABBV</v>
      </c>
    </row>
    <row r="101" spans="1:6" x14ac:dyDescent="0.25">
      <c r="A101" t="s">
        <v>255</v>
      </c>
      <c r="B101" t="s">
        <v>256</v>
      </c>
      <c r="C101" s="2">
        <v>-8.4036650171892668E-3</v>
      </c>
      <c r="D101" s="2" t="s">
        <v>104</v>
      </c>
      <c r="E101" s="4">
        <f>IF(LEN(Table_Query_from_sql1[[#This Row],[Date]])&gt;0,DATE(LEFT(Table_Query_from_sql1[[#This Row],[Date]],4),MID(Table_Query_from_sql1[[#This Row],[Date]],6,2),RIGHT(Table_Query_from_sql1[[#This Row],[Date]],2)),"")</f>
        <v>43343</v>
      </c>
      <c r="F101" t="str">
        <f>Table_Query_from_sql1[[#This Row],[DateFormatted]]&amp;Table_Query_from_sql1[[#This Row],[Ticker]]</f>
        <v>43343ABBV</v>
      </c>
    </row>
    <row r="102" spans="1:6" x14ac:dyDescent="0.25">
      <c r="A102" t="s">
        <v>255</v>
      </c>
      <c r="B102" t="s">
        <v>256</v>
      </c>
      <c r="C102" s="2">
        <v>-1.4905838289567777E-2</v>
      </c>
      <c r="D102" s="2" t="s">
        <v>105</v>
      </c>
      <c r="E102" s="4">
        <f>IF(LEN(Table_Query_from_sql1[[#This Row],[Date]])&gt;0,DATE(LEFT(Table_Query_from_sql1[[#This Row],[Date]],4),MID(Table_Query_from_sql1[[#This Row],[Date]],6,2),RIGHT(Table_Query_from_sql1[[#This Row],[Date]],2)),"")</f>
        <v>43347</v>
      </c>
      <c r="F102" t="str">
        <f>Table_Query_from_sql1[[#This Row],[DateFormatted]]&amp;Table_Query_from_sql1[[#This Row],[Ticker]]</f>
        <v>43347ABBV</v>
      </c>
    </row>
    <row r="103" spans="1:6" x14ac:dyDescent="0.25">
      <c r="A103" t="s">
        <v>255</v>
      </c>
      <c r="B103" t="s">
        <v>256</v>
      </c>
      <c r="C103" s="2">
        <v>6.6405588369951212E-3</v>
      </c>
      <c r="D103" s="2" t="s">
        <v>106</v>
      </c>
      <c r="E103" s="4">
        <f>IF(LEN(Table_Query_from_sql1[[#This Row],[Date]])&gt;0,DATE(LEFT(Table_Query_from_sql1[[#This Row],[Date]],4),MID(Table_Query_from_sql1[[#This Row],[Date]],6,2),RIGHT(Table_Query_from_sql1[[#This Row],[Date]],2)),"")</f>
        <v>43348</v>
      </c>
      <c r="F103" t="str">
        <f>Table_Query_from_sql1[[#This Row],[DateFormatted]]&amp;Table_Query_from_sql1[[#This Row],[Ticker]]</f>
        <v>43348ABBV</v>
      </c>
    </row>
    <row r="104" spans="1:6" x14ac:dyDescent="0.25">
      <c r="A104" t="s">
        <v>255</v>
      </c>
      <c r="B104" t="s">
        <v>256</v>
      </c>
      <c r="C104" s="2">
        <v>-1.5350217876771658E-2</v>
      </c>
      <c r="D104" s="2" t="s">
        <v>107</v>
      </c>
      <c r="E104" s="4">
        <f>IF(LEN(Table_Query_from_sql1[[#This Row],[Date]])&gt;0,DATE(LEFT(Table_Query_from_sql1[[#This Row],[Date]],4),MID(Table_Query_from_sql1[[#This Row],[Date]],6,2),RIGHT(Table_Query_from_sql1[[#This Row],[Date]],2)),"")</f>
        <v>43349</v>
      </c>
      <c r="F104" t="str">
        <f>Table_Query_from_sql1[[#This Row],[DateFormatted]]&amp;Table_Query_from_sql1[[#This Row],[Ticker]]</f>
        <v>43349ABBV</v>
      </c>
    </row>
    <row r="105" spans="1:6" x14ac:dyDescent="0.25">
      <c r="A105" t="s">
        <v>255</v>
      </c>
      <c r="B105" t="s">
        <v>256</v>
      </c>
      <c r="C105" s="2">
        <v>4.5767318146551052E-3</v>
      </c>
      <c r="D105" s="2" t="s">
        <v>108</v>
      </c>
      <c r="E105" s="4">
        <f>IF(LEN(Table_Query_from_sql1[[#This Row],[Date]])&gt;0,DATE(LEFT(Table_Query_from_sql1[[#This Row],[Date]],4),MID(Table_Query_from_sql1[[#This Row],[Date]],6,2),RIGHT(Table_Query_from_sql1[[#This Row],[Date]],2)),"")</f>
        <v>43350</v>
      </c>
      <c r="F105" t="str">
        <f>Table_Query_from_sql1[[#This Row],[DateFormatted]]&amp;Table_Query_from_sql1[[#This Row],[Ticker]]</f>
        <v>43350ABBV</v>
      </c>
    </row>
    <row r="106" spans="1:6" x14ac:dyDescent="0.25">
      <c r="A106" t="s">
        <v>255</v>
      </c>
      <c r="B106" t="s">
        <v>256</v>
      </c>
      <c r="C106" s="2">
        <v>-3.723608590253768E-3</v>
      </c>
      <c r="D106" s="2" t="s">
        <v>109</v>
      </c>
      <c r="E106" s="4">
        <f>IF(LEN(Table_Query_from_sql1[[#This Row],[Date]])&gt;0,DATE(LEFT(Table_Query_from_sql1[[#This Row],[Date]],4),MID(Table_Query_from_sql1[[#This Row],[Date]],6,2),RIGHT(Table_Query_from_sql1[[#This Row],[Date]],2)),"")</f>
        <v>43353</v>
      </c>
      <c r="F106" t="str">
        <f>Table_Query_from_sql1[[#This Row],[DateFormatted]]&amp;Table_Query_from_sql1[[#This Row],[Ticker]]</f>
        <v>43353ABBV</v>
      </c>
    </row>
    <row r="107" spans="1:6" x14ac:dyDescent="0.25">
      <c r="A107" t="s">
        <v>255</v>
      </c>
      <c r="B107" t="s">
        <v>256</v>
      </c>
      <c r="C107" s="2">
        <v>-6.8443541061669602E-3</v>
      </c>
      <c r="D107" s="2" t="s">
        <v>110</v>
      </c>
      <c r="E107" s="4">
        <f>IF(LEN(Table_Query_from_sql1[[#This Row],[Date]])&gt;0,DATE(LEFT(Table_Query_from_sql1[[#This Row],[Date]],4),MID(Table_Query_from_sql1[[#This Row],[Date]],6,2),RIGHT(Table_Query_from_sql1[[#This Row],[Date]],2)),"")</f>
        <v>43354</v>
      </c>
      <c r="F107" t="str">
        <f>Table_Query_from_sql1[[#This Row],[DateFormatted]]&amp;Table_Query_from_sql1[[#This Row],[Ticker]]</f>
        <v>43354ABBV</v>
      </c>
    </row>
    <row r="108" spans="1:6" x14ac:dyDescent="0.25">
      <c r="A108" t="s">
        <v>255</v>
      </c>
      <c r="B108" t="s">
        <v>256</v>
      </c>
      <c r="C108" s="2">
        <v>6.4320613021859893E-4</v>
      </c>
      <c r="D108" s="2" t="s">
        <v>111</v>
      </c>
      <c r="E108" s="4">
        <f>IF(LEN(Table_Query_from_sql1[[#This Row],[Date]])&gt;0,DATE(LEFT(Table_Query_from_sql1[[#This Row],[Date]],4),MID(Table_Query_from_sql1[[#This Row],[Date]],6,2),RIGHT(Table_Query_from_sql1[[#This Row],[Date]],2)),"")</f>
        <v>43355</v>
      </c>
      <c r="F108" t="str">
        <f>Table_Query_from_sql1[[#This Row],[DateFormatted]]&amp;Table_Query_from_sql1[[#This Row],[Ticker]]</f>
        <v>43355ABBV</v>
      </c>
    </row>
    <row r="109" spans="1:6" x14ac:dyDescent="0.25">
      <c r="A109" t="s">
        <v>255</v>
      </c>
      <c r="B109" t="s">
        <v>256</v>
      </c>
      <c r="C109" s="2">
        <v>3.2603482199013267E-2</v>
      </c>
      <c r="D109" s="2" t="s">
        <v>112</v>
      </c>
      <c r="E109" s="4">
        <f>IF(LEN(Table_Query_from_sql1[[#This Row],[Date]])&gt;0,DATE(LEFT(Table_Query_from_sql1[[#This Row],[Date]],4),MID(Table_Query_from_sql1[[#This Row],[Date]],6,2),RIGHT(Table_Query_from_sql1[[#This Row],[Date]],2)),"")</f>
        <v>43356</v>
      </c>
      <c r="F109" t="str">
        <f>Table_Query_from_sql1[[#This Row],[DateFormatted]]&amp;Table_Query_from_sql1[[#This Row],[Ticker]]</f>
        <v>43356ABBV</v>
      </c>
    </row>
    <row r="110" spans="1:6" x14ac:dyDescent="0.25">
      <c r="A110" t="s">
        <v>255</v>
      </c>
      <c r="B110" t="s">
        <v>256</v>
      </c>
      <c r="C110" s="2">
        <v>-6.7712699307395834E-3</v>
      </c>
      <c r="D110" s="2" t="s">
        <v>113</v>
      </c>
      <c r="E110" s="4">
        <f>IF(LEN(Table_Query_from_sql1[[#This Row],[Date]])&gt;0,DATE(LEFT(Table_Query_from_sql1[[#This Row],[Date]],4),MID(Table_Query_from_sql1[[#This Row],[Date]],6,2),RIGHT(Table_Query_from_sql1[[#This Row],[Date]],2)),"")</f>
        <v>43357</v>
      </c>
      <c r="F110" t="str">
        <f>Table_Query_from_sql1[[#This Row],[DateFormatted]]&amp;Table_Query_from_sql1[[#This Row],[Ticker]]</f>
        <v>43357ABBV</v>
      </c>
    </row>
    <row r="111" spans="1:6" x14ac:dyDescent="0.25">
      <c r="A111" t="s">
        <v>255</v>
      </c>
      <c r="B111" t="s">
        <v>256</v>
      </c>
      <c r="C111" s="2">
        <v>-3.2451982451909799E-3</v>
      </c>
      <c r="D111" s="2" t="s">
        <v>114</v>
      </c>
      <c r="E111" s="4">
        <f>IF(LEN(Table_Query_from_sql1[[#This Row],[Date]])&gt;0,DATE(LEFT(Table_Query_from_sql1[[#This Row],[Date]],4),MID(Table_Query_from_sql1[[#This Row],[Date]],6,2),RIGHT(Table_Query_from_sql1[[#This Row],[Date]],2)),"")</f>
        <v>43360</v>
      </c>
      <c r="F111" t="str">
        <f>Table_Query_from_sql1[[#This Row],[DateFormatted]]&amp;Table_Query_from_sql1[[#This Row],[Ticker]]</f>
        <v>43360ABBV</v>
      </c>
    </row>
    <row r="112" spans="1:6" x14ac:dyDescent="0.25">
      <c r="A112" t="s">
        <v>255</v>
      </c>
      <c r="B112" t="s">
        <v>256</v>
      </c>
      <c r="C112" s="2">
        <v>-2.9366924940825434E-2</v>
      </c>
      <c r="D112" s="2" t="s">
        <v>115</v>
      </c>
      <c r="E112" s="4">
        <f>IF(LEN(Table_Query_from_sql1[[#This Row],[Date]])&gt;0,DATE(LEFT(Table_Query_from_sql1[[#This Row],[Date]],4),MID(Table_Query_from_sql1[[#This Row],[Date]],6,2),RIGHT(Table_Query_from_sql1[[#This Row],[Date]],2)),"")</f>
        <v>43361</v>
      </c>
      <c r="F112" t="str">
        <f>Table_Query_from_sql1[[#This Row],[DateFormatted]]&amp;Table_Query_from_sql1[[#This Row],[Ticker]]</f>
        <v>43361ABBV</v>
      </c>
    </row>
    <row r="113" spans="1:6" x14ac:dyDescent="0.25">
      <c r="A113" t="s">
        <v>255</v>
      </c>
      <c r="B113" t="s">
        <v>256</v>
      </c>
      <c r="C113" s="2">
        <v>-1.7317747711905005E-2</v>
      </c>
      <c r="D113" s="2" t="s">
        <v>116</v>
      </c>
      <c r="E113" s="4">
        <f>IF(LEN(Table_Query_from_sql1[[#This Row],[Date]])&gt;0,DATE(LEFT(Table_Query_from_sql1[[#This Row],[Date]],4),MID(Table_Query_from_sql1[[#This Row],[Date]],6,2),RIGHT(Table_Query_from_sql1[[#This Row],[Date]],2)),"")</f>
        <v>43362</v>
      </c>
      <c r="F113" t="str">
        <f>Table_Query_from_sql1[[#This Row],[DateFormatted]]&amp;Table_Query_from_sql1[[#This Row],[Ticker]]</f>
        <v>43362ABBV</v>
      </c>
    </row>
    <row r="114" spans="1:6" x14ac:dyDescent="0.25">
      <c r="A114" t="s">
        <v>255</v>
      </c>
      <c r="B114" t="s">
        <v>256</v>
      </c>
      <c r="C114" s="2">
        <v>1.8073099814767363E-2</v>
      </c>
      <c r="D114" s="2" t="s">
        <v>117</v>
      </c>
      <c r="E114" s="4">
        <f>IF(LEN(Table_Query_from_sql1[[#This Row],[Date]])&gt;0,DATE(LEFT(Table_Query_from_sql1[[#This Row],[Date]],4),MID(Table_Query_from_sql1[[#This Row],[Date]],6,2),RIGHT(Table_Query_from_sql1[[#This Row],[Date]],2)),"")</f>
        <v>43363</v>
      </c>
      <c r="F114" t="str">
        <f>Table_Query_from_sql1[[#This Row],[DateFormatted]]&amp;Table_Query_from_sql1[[#This Row],[Ticker]]</f>
        <v>43363ABBV</v>
      </c>
    </row>
    <row r="115" spans="1:6" x14ac:dyDescent="0.25">
      <c r="A115" t="s">
        <v>255</v>
      </c>
      <c r="B115" t="s">
        <v>256</v>
      </c>
      <c r="C115" s="2">
        <v>-4.5418036699324694E-3</v>
      </c>
      <c r="D115" s="2" t="s">
        <v>118</v>
      </c>
      <c r="E115" s="4">
        <f>IF(LEN(Table_Query_from_sql1[[#This Row],[Date]])&gt;0,DATE(LEFT(Table_Query_from_sql1[[#This Row],[Date]],4),MID(Table_Query_from_sql1[[#This Row],[Date]],6,2),RIGHT(Table_Query_from_sql1[[#This Row],[Date]],2)),"")</f>
        <v>43364</v>
      </c>
      <c r="F115" t="str">
        <f>Table_Query_from_sql1[[#This Row],[DateFormatted]]&amp;Table_Query_from_sql1[[#This Row],[Ticker]]</f>
        <v>43364ABBV</v>
      </c>
    </row>
    <row r="116" spans="1:6" x14ac:dyDescent="0.25">
      <c r="A116" t="s">
        <v>255</v>
      </c>
      <c r="B116" t="s">
        <v>256</v>
      </c>
      <c r="C116" s="2">
        <v>1.2494597465231785E-2</v>
      </c>
      <c r="D116" s="2" t="s">
        <v>119</v>
      </c>
      <c r="E116" s="4">
        <f>IF(LEN(Table_Query_from_sql1[[#This Row],[Date]])&gt;0,DATE(LEFT(Table_Query_from_sql1[[#This Row],[Date]],4),MID(Table_Query_from_sql1[[#This Row],[Date]],6,2),RIGHT(Table_Query_from_sql1[[#This Row],[Date]],2)),"")</f>
        <v>43367</v>
      </c>
      <c r="F116" t="str">
        <f>Table_Query_from_sql1[[#This Row],[DateFormatted]]&amp;Table_Query_from_sql1[[#This Row],[Ticker]]</f>
        <v>43367ABBV</v>
      </c>
    </row>
    <row r="117" spans="1:6" x14ac:dyDescent="0.25">
      <c r="A117" t="s">
        <v>255</v>
      </c>
      <c r="B117" t="s">
        <v>256</v>
      </c>
      <c r="C117" s="2">
        <v>3.8464423607305863E-3</v>
      </c>
      <c r="D117" s="2" t="s">
        <v>120</v>
      </c>
      <c r="E117" s="4">
        <f>IF(LEN(Table_Query_from_sql1[[#This Row],[Date]])&gt;0,DATE(LEFT(Table_Query_from_sql1[[#This Row],[Date]],4),MID(Table_Query_from_sql1[[#This Row],[Date]],6,2),RIGHT(Table_Query_from_sql1[[#This Row],[Date]],2)),"")</f>
        <v>43368</v>
      </c>
      <c r="F117" t="str">
        <f>Table_Query_from_sql1[[#This Row],[DateFormatted]]&amp;Table_Query_from_sql1[[#This Row],[Ticker]]</f>
        <v>43368ABBV</v>
      </c>
    </row>
    <row r="118" spans="1:6" x14ac:dyDescent="0.25">
      <c r="A118" t="s">
        <v>255</v>
      </c>
      <c r="B118" t="s">
        <v>256</v>
      </c>
      <c r="C118" s="2">
        <v>4.2565439130976311E-3</v>
      </c>
      <c r="D118" s="2" t="s">
        <v>121</v>
      </c>
      <c r="E118" s="4">
        <f>IF(LEN(Table_Query_from_sql1[[#This Row],[Date]])&gt;0,DATE(LEFT(Table_Query_from_sql1[[#This Row],[Date]],4),MID(Table_Query_from_sql1[[#This Row],[Date]],6,2),RIGHT(Table_Query_from_sql1[[#This Row],[Date]],2)),"")</f>
        <v>43369</v>
      </c>
      <c r="F118" t="str">
        <f>Table_Query_from_sql1[[#This Row],[DateFormatted]]&amp;Table_Query_from_sql1[[#This Row],[Ticker]]</f>
        <v>43369ABBV</v>
      </c>
    </row>
    <row r="119" spans="1:6" x14ac:dyDescent="0.25">
      <c r="A119" t="s">
        <v>255</v>
      </c>
      <c r="B119" t="s">
        <v>256</v>
      </c>
      <c r="C119" s="2">
        <v>-4.2483999871881987E-4</v>
      </c>
      <c r="D119" s="2" t="s">
        <v>122</v>
      </c>
      <c r="E119" s="4">
        <f>IF(LEN(Table_Query_from_sql1[[#This Row],[Date]])&gt;0,DATE(LEFT(Table_Query_from_sql1[[#This Row],[Date]],4),MID(Table_Query_from_sql1[[#This Row],[Date]],6,2),RIGHT(Table_Query_from_sql1[[#This Row],[Date]],2)),"")</f>
        <v>43370</v>
      </c>
      <c r="F119" t="str">
        <f>Table_Query_from_sql1[[#This Row],[DateFormatted]]&amp;Table_Query_from_sql1[[#This Row],[Ticker]]</f>
        <v>43370ABBV</v>
      </c>
    </row>
    <row r="120" spans="1:6" x14ac:dyDescent="0.25">
      <c r="A120" t="s">
        <v>255</v>
      </c>
      <c r="B120" t="s">
        <v>256</v>
      </c>
      <c r="C120" s="2">
        <v>4.6633425126160599E-3</v>
      </c>
      <c r="D120" s="2" t="s">
        <v>123</v>
      </c>
      <c r="E120" s="4">
        <f>IF(LEN(Table_Query_from_sql1[[#This Row],[Date]])&gt;0,DATE(LEFT(Table_Query_from_sql1[[#This Row],[Date]],4),MID(Table_Query_from_sql1[[#This Row],[Date]],6,2),RIGHT(Table_Query_from_sql1[[#This Row],[Date]],2)),"")</f>
        <v>43371</v>
      </c>
      <c r="F120" t="str">
        <f>Table_Query_from_sql1[[#This Row],[DateFormatted]]&amp;Table_Query_from_sql1[[#This Row],[Ticker]]</f>
        <v>43371ABBV</v>
      </c>
    </row>
    <row r="121" spans="1:6" x14ac:dyDescent="0.25">
      <c r="A121" t="s">
        <v>255</v>
      </c>
      <c r="B121" t="s">
        <v>256</v>
      </c>
      <c r="C121" s="2">
        <v>4.430638723595037E-3</v>
      </c>
      <c r="D121" s="2" t="s">
        <v>124</v>
      </c>
      <c r="E121" s="4">
        <f>IF(LEN(Table_Query_from_sql1[[#This Row],[Date]])&gt;0,DATE(LEFT(Table_Query_from_sql1[[#This Row],[Date]],4),MID(Table_Query_from_sql1[[#This Row],[Date]],6,2),RIGHT(Table_Query_from_sql1[[#This Row],[Date]],2)),"")</f>
        <v>43374</v>
      </c>
      <c r="F121" t="str">
        <f>Table_Query_from_sql1[[#This Row],[DateFormatted]]&amp;Table_Query_from_sql1[[#This Row],[Ticker]]</f>
        <v>43374ABBV</v>
      </c>
    </row>
    <row r="122" spans="1:6" x14ac:dyDescent="0.25">
      <c r="A122" t="s">
        <v>255</v>
      </c>
      <c r="B122" t="s">
        <v>256</v>
      </c>
      <c r="C122" s="2">
        <v>-8.1380734910680881E-3</v>
      </c>
      <c r="D122" s="2" t="s">
        <v>125</v>
      </c>
      <c r="E122" s="4">
        <f>IF(LEN(Table_Query_from_sql1[[#This Row],[Date]])&gt;0,DATE(LEFT(Table_Query_from_sql1[[#This Row],[Date]],4),MID(Table_Query_from_sql1[[#This Row],[Date]],6,2),RIGHT(Table_Query_from_sql1[[#This Row],[Date]],2)),"")</f>
        <v>43375</v>
      </c>
      <c r="F122" t="str">
        <f>Table_Query_from_sql1[[#This Row],[DateFormatted]]&amp;Table_Query_from_sql1[[#This Row],[Ticker]]</f>
        <v>43375ABBV</v>
      </c>
    </row>
    <row r="123" spans="1:6" x14ac:dyDescent="0.25">
      <c r="A123" t="s">
        <v>255</v>
      </c>
      <c r="B123" t="s">
        <v>256</v>
      </c>
      <c r="C123" s="2">
        <v>1.8713505772485983E-2</v>
      </c>
      <c r="D123" s="2" t="s">
        <v>126</v>
      </c>
      <c r="E123" s="4">
        <f>IF(LEN(Table_Query_from_sql1[[#This Row],[Date]])&gt;0,DATE(LEFT(Table_Query_from_sql1[[#This Row],[Date]],4),MID(Table_Query_from_sql1[[#This Row],[Date]],6,2),RIGHT(Table_Query_from_sql1[[#This Row],[Date]],2)),"")</f>
        <v>43376</v>
      </c>
      <c r="F123" t="str">
        <f>Table_Query_from_sql1[[#This Row],[DateFormatted]]&amp;Table_Query_from_sql1[[#This Row],[Ticker]]</f>
        <v>43376ABBV</v>
      </c>
    </row>
    <row r="124" spans="1:6" x14ac:dyDescent="0.25">
      <c r="A124" t="s">
        <v>255</v>
      </c>
      <c r="B124" t="s">
        <v>256</v>
      </c>
      <c r="C124" s="2">
        <v>-2.2860934538143744E-2</v>
      </c>
      <c r="D124" s="2" t="s">
        <v>127</v>
      </c>
      <c r="E124" s="4">
        <f>IF(LEN(Table_Query_from_sql1[[#This Row],[Date]])&gt;0,DATE(LEFT(Table_Query_from_sql1[[#This Row],[Date]],4),MID(Table_Query_from_sql1[[#This Row],[Date]],6,2),RIGHT(Table_Query_from_sql1[[#This Row],[Date]],2)),"")</f>
        <v>43377</v>
      </c>
      <c r="F124" t="str">
        <f>Table_Query_from_sql1[[#This Row],[DateFormatted]]&amp;Table_Query_from_sql1[[#This Row],[Ticker]]</f>
        <v>43377ABBV</v>
      </c>
    </row>
    <row r="125" spans="1:6" x14ac:dyDescent="0.25">
      <c r="A125" t="s">
        <v>255</v>
      </c>
      <c r="B125" t="s">
        <v>256</v>
      </c>
      <c r="C125" s="2">
        <v>5.7378578874463697E-3</v>
      </c>
      <c r="D125" s="2" t="s">
        <v>128</v>
      </c>
      <c r="E125" s="4">
        <f>IF(LEN(Table_Query_from_sql1[[#This Row],[Date]])&gt;0,DATE(LEFT(Table_Query_from_sql1[[#This Row],[Date]],4),MID(Table_Query_from_sql1[[#This Row],[Date]],6,2),RIGHT(Table_Query_from_sql1[[#This Row],[Date]],2)),"")</f>
        <v>43378</v>
      </c>
      <c r="F125" t="str">
        <f>Table_Query_from_sql1[[#This Row],[DateFormatted]]&amp;Table_Query_from_sql1[[#This Row],[Ticker]]</f>
        <v>43378ABBV</v>
      </c>
    </row>
    <row r="126" spans="1:6" x14ac:dyDescent="0.25">
      <c r="A126" t="s">
        <v>255</v>
      </c>
      <c r="B126" t="s">
        <v>256</v>
      </c>
      <c r="C126" s="2">
        <v>4.5457647157716571E-3</v>
      </c>
      <c r="D126" s="2" t="s">
        <v>129</v>
      </c>
      <c r="E126" s="4">
        <f>IF(LEN(Table_Query_from_sql1[[#This Row],[Date]])&gt;0,DATE(LEFT(Table_Query_from_sql1[[#This Row],[Date]],4),MID(Table_Query_from_sql1[[#This Row],[Date]],6,2),RIGHT(Table_Query_from_sql1[[#This Row],[Date]],2)),"")</f>
        <v>43381</v>
      </c>
      <c r="F126" t="str">
        <f>Table_Query_from_sql1[[#This Row],[DateFormatted]]&amp;Table_Query_from_sql1[[#This Row],[Ticker]]</f>
        <v>43381ABBV</v>
      </c>
    </row>
    <row r="127" spans="1:6" x14ac:dyDescent="0.25">
      <c r="A127" t="s">
        <v>255</v>
      </c>
      <c r="B127" t="s">
        <v>256</v>
      </c>
      <c r="C127" s="2">
        <v>-2.534773438378689E-3</v>
      </c>
      <c r="D127" s="2" t="s">
        <v>130</v>
      </c>
      <c r="E127" s="4">
        <f>IF(LEN(Table_Query_from_sql1[[#This Row],[Date]])&gt;0,DATE(LEFT(Table_Query_from_sql1[[#This Row],[Date]],4),MID(Table_Query_from_sql1[[#This Row],[Date]],6,2),RIGHT(Table_Query_from_sql1[[#This Row],[Date]],2)),"")</f>
        <v>43382</v>
      </c>
      <c r="F127" t="str">
        <f>Table_Query_from_sql1[[#This Row],[DateFormatted]]&amp;Table_Query_from_sql1[[#This Row],[Ticker]]</f>
        <v>43382ABBV</v>
      </c>
    </row>
    <row r="128" spans="1:6" x14ac:dyDescent="0.25">
      <c r="A128" t="s">
        <v>255</v>
      </c>
      <c r="B128" t="s">
        <v>256</v>
      </c>
      <c r="C128" s="2">
        <v>-1.5881311505456765E-2</v>
      </c>
      <c r="D128" s="2" t="s">
        <v>131</v>
      </c>
      <c r="E128" s="4">
        <f>IF(LEN(Table_Query_from_sql1[[#This Row],[Date]])&gt;0,DATE(LEFT(Table_Query_from_sql1[[#This Row],[Date]],4),MID(Table_Query_from_sql1[[#This Row],[Date]],6,2),RIGHT(Table_Query_from_sql1[[#This Row],[Date]],2)),"")</f>
        <v>43383</v>
      </c>
      <c r="F128" t="str">
        <f>Table_Query_from_sql1[[#This Row],[DateFormatted]]&amp;Table_Query_from_sql1[[#This Row],[Ticker]]</f>
        <v>43383ABBV</v>
      </c>
    </row>
    <row r="129" spans="1:6" x14ac:dyDescent="0.25">
      <c r="A129" t="s">
        <v>255</v>
      </c>
      <c r="B129" t="s">
        <v>256</v>
      </c>
      <c r="C129" s="2">
        <v>-2.590222174555647E-2</v>
      </c>
      <c r="D129" s="2" t="s">
        <v>132</v>
      </c>
      <c r="E129" s="4">
        <f>IF(LEN(Table_Query_from_sql1[[#This Row],[Date]])&gt;0,DATE(LEFT(Table_Query_from_sql1[[#This Row],[Date]],4),MID(Table_Query_from_sql1[[#This Row],[Date]],6,2),RIGHT(Table_Query_from_sql1[[#This Row],[Date]],2)),"")</f>
        <v>43384</v>
      </c>
      <c r="F129" t="str">
        <f>Table_Query_from_sql1[[#This Row],[DateFormatted]]&amp;Table_Query_from_sql1[[#This Row],[Ticker]]</f>
        <v>43384ABBV</v>
      </c>
    </row>
    <row r="130" spans="1:6" x14ac:dyDescent="0.25">
      <c r="A130" t="s">
        <v>255</v>
      </c>
      <c r="B130" t="s">
        <v>256</v>
      </c>
      <c r="C130" s="2">
        <v>1.0530611962623521E-2</v>
      </c>
      <c r="D130" s="2" t="s">
        <v>133</v>
      </c>
      <c r="E130" s="4">
        <f>IF(LEN(Table_Query_from_sql1[[#This Row],[Date]])&gt;0,DATE(LEFT(Table_Query_from_sql1[[#This Row],[Date]],4),MID(Table_Query_from_sql1[[#This Row],[Date]],6,2),RIGHT(Table_Query_from_sql1[[#This Row],[Date]],2)),"")</f>
        <v>43385</v>
      </c>
      <c r="F130" t="str">
        <f>Table_Query_from_sql1[[#This Row],[DateFormatted]]&amp;Table_Query_from_sql1[[#This Row],[Ticker]]</f>
        <v>43385ABBV</v>
      </c>
    </row>
    <row r="131" spans="1:6" x14ac:dyDescent="0.25">
      <c r="A131" t="s">
        <v>255</v>
      </c>
      <c r="B131" t="s">
        <v>256</v>
      </c>
      <c r="C131" s="2">
        <v>-1.6790243314701789E-2</v>
      </c>
      <c r="D131" s="2" t="s">
        <v>134</v>
      </c>
      <c r="E131" s="4">
        <f>IF(LEN(Table_Query_from_sql1[[#This Row],[Date]])&gt;0,DATE(LEFT(Table_Query_from_sql1[[#This Row],[Date]],4),MID(Table_Query_from_sql1[[#This Row],[Date]],6,2),RIGHT(Table_Query_from_sql1[[#This Row],[Date]],2)),"")</f>
        <v>43388</v>
      </c>
      <c r="F131" t="str">
        <f>Table_Query_from_sql1[[#This Row],[DateFormatted]]&amp;Table_Query_from_sql1[[#This Row],[Ticker]]</f>
        <v>43388ABBV</v>
      </c>
    </row>
    <row r="132" spans="1:6" x14ac:dyDescent="0.25">
      <c r="A132" t="s">
        <v>255</v>
      </c>
      <c r="B132" t="s">
        <v>256</v>
      </c>
      <c r="C132" s="2">
        <v>3.0152779687039256E-2</v>
      </c>
      <c r="D132" s="2" t="s">
        <v>135</v>
      </c>
      <c r="E132" s="4">
        <f>IF(LEN(Table_Query_from_sql1[[#This Row],[Date]])&gt;0,DATE(LEFT(Table_Query_from_sql1[[#This Row],[Date]],4),MID(Table_Query_from_sql1[[#This Row],[Date]],6,2),RIGHT(Table_Query_from_sql1[[#This Row],[Date]],2)),"")</f>
        <v>43389</v>
      </c>
      <c r="F132" t="str">
        <f>Table_Query_from_sql1[[#This Row],[DateFormatted]]&amp;Table_Query_from_sql1[[#This Row],[Ticker]]</f>
        <v>43389ABBV</v>
      </c>
    </row>
    <row r="133" spans="1:6" x14ac:dyDescent="0.25">
      <c r="A133" t="s">
        <v>255</v>
      </c>
      <c r="B133" t="s">
        <v>256</v>
      </c>
      <c r="C133" s="2">
        <v>3.909902561901382E-3</v>
      </c>
      <c r="D133" s="2" t="s">
        <v>136</v>
      </c>
      <c r="E133" s="4">
        <f>IF(LEN(Table_Query_from_sql1[[#This Row],[Date]])&gt;0,DATE(LEFT(Table_Query_from_sql1[[#This Row],[Date]],4),MID(Table_Query_from_sql1[[#This Row],[Date]],6,2),RIGHT(Table_Query_from_sql1[[#This Row],[Date]],2)),"")</f>
        <v>43390</v>
      </c>
      <c r="F133" t="str">
        <f>Table_Query_from_sql1[[#This Row],[DateFormatted]]&amp;Table_Query_from_sql1[[#This Row],[Ticker]]</f>
        <v>43390ABBV</v>
      </c>
    </row>
    <row r="134" spans="1:6" x14ac:dyDescent="0.25">
      <c r="A134" t="s">
        <v>255</v>
      </c>
      <c r="B134" t="s">
        <v>256</v>
      </c>
      <c r="C134" s="2">
        <v>-2.602127558163448E-2</v>
      </c>
      <c r="D134" s="2" t="s">
        <v>137</v>
      </c>
      <c r="E134" s="4">
        <f>IF(LEN(Table_Query_from_sql1[[#This Row],[Date]])&gt;0,DATE(LEFT(Table_Query_from_sql1[[#This Row],[Date]],4),MID(Table_Query_from_sql1[[#This Row],[Date]],6,2),RIGHT(Table_Query_from_sql1[[#This Row],[Date]],2)),"")</f>
        <v>43391</v>
      </c>
      <c r="F134" t="str">
        <f>Table_Query_from_sql1[[#This Row],[DateFormatted]]&amp;Table_Query_from_sql1[[#This Row],[Ticker]]</f>
        <v>43391ABBV</v>
      </c>
    </row>
    <row r="135" spans="1:6" x14ac:dyDescent="0.25">
      <c r="A135" t="s">
        <v>255</v>
      </c>
      <c r="B135" t="s">
        <v>256</v>
      </c>
      <c r="C135" s="2">
        <v>-2.1701901705594977E-2</v>
      </c>
      <c r="D135" s="2" t="s">
        <v>138</v>
      </c>
      <c r="E135" s="4">
        <f>IF(LEN(Table_Query_from_sql1[[#This Row],[Date]])&gt;0,DATE(LEFT(Table_Query_from_sql1[[#This Row],[Date]],4),MID(Table_Query_from_sql1[[#This Row],[Date]],6,2),RIGHT(Table_Query_from_sql1[[#This Row],[Date]],2)),"")</f>
        <v>43392</v>
      </c>
      <c r="F135" t="str">
        <f>Table_Query_from_sql1[[#This Row],[DateFormatted]]&amp;Table_Query_from_sql1[[#This Row],[Ticker]]</f>
        <v>43392ABBV</v>
      </c>
    </row>
    <row r="136" spans="1:6" x14ac:dyDescent="0.25">
      <c r="A136" t="s">
        <v>255</v>
      </c>
      <c r="B136" t="s">
        <v>256</v>
      </c>
      <c r="C136" s="2">
        <v>-4.2970245742444811E-2</v>
      </c>
      <c r="D136" s="2" t="s">
        <v>139</v>
      </c>
      <c r="E136" s="4">
        <f>IF(LEN(Table_Query_from_sql1[[#This Row],[Date]])&gt;0,DATE(LEFT(Table_Query_from_sql1[[#This Row],[Date]],4),MID(Table_Query_from_sql1[[#This Row],[Date]],6,2),RIGHT(Table_Query_from_sql1[[#This Row],[Date]],2)),"")</f>
        <v>43395</v>
      </c>
      <c r="F136" t="str">
        <f>Table_Query_from_sql1[[#This Row],[DateFormatted]]&amp;Table_Query_from_sql1[[#This Row],[Ticker]]</f>
        <v>43395ABBV</v>
      </c>
    </row>
    <row r="137" spans="1:6" x14ac:dyDescent="0.25">
      <c r="A137" t="s">
        <v>255</v>
      </c>
      <c r="B137" t="s">
        <v>256</v>
      </c>
      <c r="C137" s="2">
        <v>-1.5667020817624496E-2</v>
      </c>
      <c r="D137" s="2" t="s">
        <v>140</v>
      </c>
      <c r="E137" s="4">
        <f>IF(LEN(Table_Query_from_sql1[[#This Row],[Date]])&gt;0,DATE(LEFT(Table_Query_from_sql1[[#This Row],[Date]],4),MID(Table_Query_from_sql1[[#This Row],[Date]],6,2),RIGHT(Table_Query_from_sql1[[#This Row],[Date]],2)),"")</f>
        <v>43396</v>
      </c>
      <c r="F137" t="str">
        <f>Table_Query_from_sql1[[#This Row],[DateFormatted]]&amp;Table_Query_from_sql1[[#This Row],[Ticker]]</f>
        <v>43396ABBV</v>
      </c>
    </row>
    <row r="138" spans="1:6" x14ac:dyDescent="0.25">
      <c r="A138" t="s">
        <v>255</v>
      </c>
      <c r="B138" t="s">
        <v>256</v>
      </c>
      <c r="C138" s="2">
        <v>-4.3734385780464048E-2</v>
      </c>
      <c r="D138" s="2" t="s">
        <v>141</v>
      </c>
      <c r="E138" s="4">
        <f>IF(LEN(Table_Query_from_sql1[[#This Row],[Date]])&gt;0,DATE(LEFT(Table_Query_from_sql1[[#This Row],[Date]],4),MID(Table_Query_from_sql1[[#This Row],[Date]],6,2),RIGHT(Table_Query_from_sql1[[#This Row],[Date]],2)),"")</f>
        <v>43397</v>
      </c>
      <c r="F138" t="str">
        <f>Table_Query_from_sql1[[#This Row],[DateFormatted]]&amp;Table_Query_from_sql1[[#This Row],[Ticker]]</f>
        <v>43397ABBV</v>
      </c>
    </row>
    <row r="139" spans="1:6" x14ac:dyDescent="0.25">
      <c r="A139" t="s">
        <v>255</v>
      </c>
      <c r="B139" t="s">
        <v>256</v>
      </c>
      <c r="C139" s="2">
        <v>2.8796928156473296E-2</v>
      </c>
      <c r="D139" s="2" t="s">
        <v>142</v>
      </c>
      <c r="E139" s="4">
        <f>IF(LEN(Table_Query_from_sql1[[#This Row],[Date]])&gt;0,DATE(LEFT(Table_Query_from_sql1[[#This Row],[Date]],4),MID(Table_Query_from_sql1[[#This Row],[Date]],6,2),RIGHT(Table_Query_from_sql1[[#This Row],[Date]],2)),"")</f>
        <v>43398</v>
      </c>
      <c r="F139" t="str">
        <f>Table_Query_from_sql1[[#This Row],[DateFormatted]]&amp;Table_Query_from_sql1[[#This Row],[Ticker]]</f>
        <v>43398ABBV</v>
      </c>
    </row>
    <row r="140" spans="1:6" x14ac:dyDescent="0.25">
      <c r="A140" t="s">
        <v>255</v>
      </c>
      <c r="B140" t="s">
        <v>256</v>
      </c>
      <c r="C140" s="2">
        <v>-1.1569045807851376E-2</v>
      </c>
      <c r="D140" s="2" t="s">
        <v>143</v>
      </c>
      <c r="E140" s="4">
        <f>IF(LEN(Table_Query_from_sql1[[#This Row],[Date]])&gt;0,DATE(LEFT(Table_Query_from_sql1[[#This Row],[Date]],4),MID(Table_Query_from_sql1[[#This Row],[Date]],6,2),RIGHT(Table_Query_from_sql1[[#This Row],[Date]],2)),"")</f>
        <v>43399</v>
      </c>
      <c r="F140" t="str">
        <f>Table_Query_from_sql1[[#This Row],[DateFormatted]]&amp;Table_Query_from_sql1[[#This Row],[Ticker]]</f>
        <v>43399ABBV</v>
      </c>
    </row>
    <row r="141" spans="1:6" x14ac:dyDescent="0.25">
      <c r="A141" t="s">
        <v>255</v>
      </c>
      <c r="B141" t="s">
        <v>256</v>
      </c>
      <c r="C141" s="2">
        <v>7.0306366376175879E-3</v>
      </c>
      <c r="D141" s="2" t="s">
        <v>144</v>
      </c>
      <c r="E141" s="4">
        <f>IF(LEN(Table_Query_from_sql1[[#This Row],[Date]])&gt;0,DATE(LEFT(Table_Query_from_sql1[[#This Row],[Date]],4),MID(Table_Query_from_sql1[[#This Row],[Date]],6,2),RIGHT(Table_Query_from_sql1[[#This Row],[Date]],2)),"")</f>
        <v>43402</v>
      </c>
      <c r="F141" t="str">
        <f>Table_Query_from_sql1[[#This Row],[DateFormatted]]&amp;Table_Query_from_sql1[[#This Row],[Ticker]]</f>
        <v>43402ABBV</v>
      </c>
    </row>
    <row r="142" spans="1:6" x14ac:dyDescent="0.25">
      <c r="A142" t="s">
        <v>255</v>
      </c>
      <c r="B142" t="s">
        <v>256</v>
      </c>
      <c r="C142" s="2">
        <v>2.8240305966998188E-3</v>
      </c>
      <c r="D142" s="2" t="s">
        <v>145</v>
      </c>
      <c r="E142" s="4">
        <f>IF(LEN(Table_Query_from_sql1[[#This Row],[Date]])&gt;0,DATE(LEFT(Table_Query_from_sql1[[#This Row],[Date]],4),MID(Table_Query_from_sql1[[#This Row],[Date]],6,2),RIGHT(Table_Query_from_sql1[[#This Row],[Date]],2)),"")</f>
        <v>43403</v>
      </c>
      <c r="F142" t="str">
        <f>Table_Query_from_sql1[[#This Row],[DateFormatted]]&amp;Table_Query_from_sql1[[#This Row],[Ticker]]</f>
        <v>43403ABBV</v>
      </c>
    </row>
    <row r="143" spans="1:6" x14ac:dyDescent="0.25">
      <c r="A143" t="s">
        <v>255</v>
      </c>
      <c r="B143" t="s">
        <v>256</v>
      </c>
      <c r="C143" s="2">
        <v>-4.692296063108535E-2</v>
      </c>
      <c r="D143" s="2" t="s">
        <v>146</v>
      </c>
      <c r="E143" s="4">
        <f>IF(LEN(Table_Query_from_sql1[[#This Row],[Date]])&gt;0,DATE(LEFT(Table_Query_from_sql1[[#This Row],[Date]],4),MID(Table_Query_from_sql1[[#This Row],[Date]],6,2),RIGHT(Table_Query_from_sql1[[#This Row],[Date]],2)),"")</f>
        <v>43404</v>
      </c>
      <c r="F143" t="str">
        <f>Table_Query_from_sql1[[#This Row],[DateFormatted]]&amp;Table_Query_from_sql1[[#This Row],[Ticker]]</f>
        <v>43404ABBV</v>
      </c>
    </row>
    <row r="144" spans="1:6" x14ac:dyDescent="0.25">
      <c r="A144" t="s">
        <v>255</v>
      </c>
      <c r="B144" t="s">
        <v>256</v>
      </c>
      <c r="C144" s="2">
        <v>2.9864206642079835E-2</v>
      </c>
      <c r="D144" s="2" t="s">
        <v>147</v>
      </c>
      <c r="E144" s="4">
        <f>IF(LEN(Table_Query_from_sql1[[#This Row],[Date]])&gt;0,DATE(LEFT(Table_Query_from_sql1[[#This Row],[Date]],4),MID(Table_Query_from_sql1[[#This Row],[Date]],6,2),RIGHT(Table_Query_from_sql1[[#This Row],[Date]],2)),"")</f>
        <v>43405</v>
      </c>
      <c r="F144" t="str">
        <f>Table_Query_from_sql1[[#This Row],[DateFormatted]]&amp;Table_Query_from_sql1[[#This Row],[Ticker]]</f>
        <v>43405ABBV</v>
      </c>
    </row>
    <row r="145" spans="1:6" x14ac:dyDescent="0.25">
      <c r="A145" t="s">
        <v>255</v>
      </c>
      <c r="B145" t="s">
        <v>256</v>
      </c>
      <c r="C145" s="2">
        <v>-8.1364258887208878E-3</v>
      </c>
      <c r="D145" s="2" t="s">
        <v>148</v>
      </c>
      <c r="E145" s="4">
        <f>IF(LEN(Table_Query_from_sql1[[#This Row],[Date]])&gt;0,DATE(LEFT(Table_Query_from_sql1[[#This Row],[Date]],4),MID(Table_Query_from_sql1[[#This Row],[Date]],6,2),RIGHT(Table_Query_from_sql1[[#This Row],[Date]],2)),"")</f>
        <v>43406</v>
      </c>
      <c r="F145" t="str">
        <f>Table_Query_from_sql1[[#This Row],[DateFormatted]]&amp;Table_Query_from_sql1[[#This Row],[Ticker]]</f>
        <v>43406ABBV</v>
      </c>
    </row>
    <row r="146" spans="1:6" x14ac:dyDescent="0.25">
      <c r="A146" t="s">
        <v>255</v>
      </c>
      <c r="B146" t="s">
        <v>256</v>
      </c>
      <c r="C146" s="2">
        <v>3.7255925033934809E-2</v>
      </c>
      <c r="D146" s="2" t="s">
        <v>149</v>
      </c>
      <c r="E146" s="4">
        <f>IF(LEN(Table_Query_from_sql1[[#This Row],[Date]])&gt;0,DATE(LEFT(Table_Query_from_sql1[[#This Row],[Date]],4),MID(Table_Query_from_sql1[[#This Row],[Date]],6,2),RIGHT(Table_Query_from_sql1[[#This Row],[Date]],2)),"")</f>
        <v>43409</v>
      </c>
      <c r="F146" t="str">
        <f>Table_Query_from_sql1[[#This Row],[DateFormatted]]&amp;Table_Query_from_sql1[[#This Row],[Ticker]]</f>
        <v>43409ABBV</v>
      </c>
    </row>
    <row r="147" spans="1:6" x14ac:dyDescent="0.25">
      <c r="A147" t="s">
        <v>255</v>
      </c>
      <c r="B147" t="s">
        <v>256</v>
      </c>
      <c r="C147" s="2">
        <v>1.2993261232152647E-2</v>
      </c>
      <c r="D147" s="2" t="s">
        <v>150</v>
      </c>
      <c r="E147" s="4">
        <f>IF(LEN(Table_Query_from_sql1[[#This Row],[Date]])&gt;0,DATE(LEFT(Table_Query_from_sql1[[#This Row],[Date]],4),MID(Table_Query_from_sql1[[#This Row],[Date]],6,2),RIGHT(Table_Query_from_sql1[[#This Row],[Date]],2)),"")</f>
        <v>43410</v>
      </c>
      <c r="F147" t="str">
        <f>Table_Query_from_sql1[[#This Row],[DateFormatted]]&amp;Table_Query_from_sql1[[#This Row],[Ticker]]</f>
        <v>43410ABBV</v>
      </c>
    </row>
    <row r="148" spans="1:6" x14ac:dyDescent="0.25">
      <c r="A148" t="s">
        <v>255</v>
      </c>
      <c r="B148" t="s">
        <v>256</v>
      </c>
      <c r="C148" s="2">
        <v>3.8687065303873822E-2</v>
      </c>
      <c r="D148" s="2" t="s">
        <v>151</v>
      </c>
      <c r="E148" s="4">
        <f>IF(LEN(Table_Query_from_sql1[[#This Row],[Date]])&gt;0,DATE(LEFT(Table_Query_from_sql1[[#This Row],[Date]],4),MID(Table_Query_from_sql1[[#This Row],[Date]],6,2),RIGHT(Table_Query_from_sql1[[#This Row],[Date]],2)),"")</f>
        <v>43411</v>
      </c>
      <c r="F148" t="str">
        <f>Table_Query_from_sql1[[#This Row],[DateFormatted]]&amp;Table_Query_from_sql1[[#This Row],[Ticker]]</f>
        <v>43411ABBV</v>
      </c>
    </row>
    <row r="149" spans="1:6" x14ac:dyDescent="0.25">
      <c r="A149" t="s">
        <v>255</v>
      </c>
      <c r="B149" t="s">
        <v>256</v>
      </c>
      <c r="C149" s="2">
        <v>8.8160108814362981E-3</v>
      </c>
      <c r="D149" s="2" t="s">
        <v>152</v>
      </c>
      <c r="E149" s="4">
        <f>IF(LEN(Table_Query_from_sql1[[#This Row],[Date]])&gt;0,DATE(LEFT(Table_Query_from_sql1[[#This Row],[Date]],4),MID(Table_Query_from_sql1[[#This Row],[Date]],6,2),RIGHT(Table_Query_from_sql1[[#This Row],[Date]],2)),"")</f>
        <v>43412</v>
      </c>
      <c r="F149" t="str">
        <f>Table_Query_from_sql1[[#This Row],[DateFormatted]]&amp;Table_Query_from_sql1[[#This Row],[Ticker]]</f>
        <v>43412ABBV</v>
      </c>
    </row>
    <row r="150" spans="1:6" x14ac:dyDescent="0.25">
      <c r="A150" t="s">
        <v>255</v>
      </c>
      <c r="B150" t="s">
        <v>256</v>
      </c>
      <c r="C150" s="2">
        <v>1.200945955773661E-2</v>
      </c>
      <c r="D150" s="2" t="s">
        <v>153</v>
      </c>
      <c r="E150" s="4">
        <f>IF(LEN(Table_Query_from_sql1[[#This Row],[Date]])&gt;0,DATE(LEFT(Table_Query_from_sql1[[#This Row],[Date]],4),MID(Table_Query_from_sql1[[#This Row],[Date]],6,2),RIGHT(Table_Query_from_sql1[[#This Row],[Date]],2)),"")</f>
        <v>43413</v>
      </c>
      <c r="F150" t="str">
        <f>Table_Query_from_sql1[[#This Row],[DateFormatted]]&amp;Table_Query_from_sql1[[#This Row],[Ticker]]</f>
        <v>43413ABBV</v>
      </c>
    </row>
    <row r="151" spans="1:6" x14ac:dyDescent="0.25">
      <c r="A151" t="s">
        <v>255</v>
      </c>
      <c r="B151" t="s">
        <v>256</v>
      </c>
      <c r="C151" s="2">
        <v>1.0085301074425132E-2</v>
      </c>
      <c r="D151" s="2" t="s">
        <v>154</v>
      </c>
      <c r="E151" s="4">
        <f>IF(LEN(Table_Query_from_sql1[[#This Row],[Date]])&gt;0,DATE(LEFT(Table_Query_from_sql1[[#This Row],[Date]],4),MID(Table_Query_from_sql1[[#This Row],[Date]],6,2),RIGHT(Table_Query_from_sql1[[#This Row],[Date]],2)),"")</f>
        <v>43416</v>
      </c>
      <c r="F151" t="str">
        <f>Table_Query_from_sql1[[#This Row],[DateFormatted]]&amp;Table_Query_from_sql1[[#This Row],[Ticker]]</f>
        <v>43416ABBV</v>
      </c>
    </row>
    <row r="152" spans="1:6" x14ac:dyDescent="0.25">
      <c r="A152" t="s">
        <v>255</v>
      </c>
      <c r="B152" t="s">
        <v>256</v>
      </c>
      <c r="C152" s="2">
        <v>-1.6525709164469205E-2</v>
      </c>
      <c r="D152" s="2" t="s">
        <v>155</v>
      </c>
      <c r="E152" s="4">
        <f>IF(LEN(Table_Query_from_sql1[[#This Row],[Date]])&gt;0,DATE(LEFT(Table_Query_from_sql1[[#This Row],[Date]],4),MID(Table_Query_from_sql1[[#This Row],[Date]],6,2),RIGHT(Table_Query_from_sql1[[#This Row],[Date]],2)),"")</f>
        <v>43417</v>
      </c>
      <c r="F152" t="str">
        <f>Table_Query_from_sql1[[#This Row],[DateFormatted]]&amp;Table_Query_from_sql1[[#This Row],[Ticker]]</f>
        <v>43417ABBV</v>
      </c>
    </row>
    <row r="153" spans="1:6" x14ac:dyDescent="0.25">
      <c r="A153" t="s">
        <v>255</v>
      </c>
      <c r="B153" t="s">
        <v>256</v>
      </c>
      <c r="C153" s="2">
        <v>1.0195475308176283E-3</v>
      </c>
      <c r="D153" s="2" t="s">
        <v>156</v>
      </c>
      <c r="E153" s="4">
        <f>IF(LEN(Table_Query_from_sql1[[#This Row],[Date]])&gt;0,DATE(LEFT(Table_Query_from_sql1[[#This Row],[Date]],4),MID(Table_Query_from_sql1[[#This Row],[Date]],6,2),RIGHT(Table_Query_from_sql1[[#This Row],[Date]],2)),"")</f>
        <v>43418</v>
      </c>
      <c r="F153" t="str">
        <f>Table_Query_from_sql1[[#This Row],[DateFormatted]]&amp;Table_Query_from_sql1[[#This Row],[Ticker]]</f>
        <v>43418ABBV</v>
      </c>
    </row>
    <row r="154" spans="1:6" x14ac:dyDescent="0.25">
      <c r="A154" t="s">
        <v>255</v>
      </c>
      <c r="B154" t="s">
        <v>256</v>
      </c>
      <c r="C154" s="2">
        <v>2.0511485867017704E-2</v>
      </c>
      <c r="D154" s="2" t="s">
        <v>157</v>
      </c>
      <c r="E154" s="4">
        <f>IF(LEN(Table_Query_from_sql1[[#This Row],[Date]])&gt;0,DATE(LEFT(Table_Query_from_sql1[[#This Row],[Date]],4),MID(Table_Query_from_sql1[[#This Row],[Date]],6,2),RIGHT(Table_Query_from_sql1[[#This Row],[Date]],2)),"")</f>
        <v>43419</v>
      </c>
      <c r="F154" t="str">
        <f>Table_Query_from_sql1[[#This Row],[DateFormatted]]&amp;Table_Query_from_sql1[[#This Row],[Ticker]]</f>
        <v>43419ABBV</v>
      </c>
    </row>
    <row r="155" spans="1:6" x14ac:dyDescent="0.25">
      <c r="A155" t="s">
        <v>255</v>
      </c>
      <c r="B155" t="s">
        <v>256</v>
      </c>
      <c r="C155" s="2">
        <v>1.5302114104968094E-2</v>
      </c>
      <c r="D155" s="2" t="s">
        <v>158</v>
      </c>
      <c r="E155" s="4">
        <f>IF(LEN(Table_Query_from_sql1[[#This Row],[Date]])&gt;0,DATE(LEFT(Table_Query_from_sql1[[#This Row],[Date]],4),MID(Table_Query_from_sql1[[#This Row],[Date]],6,2),RIGHT(Table_Query_from_sql1[[#This Row],[Date]],2)),"")</f>
        <v>43420</v>
      </c>
      <c r="F155" t="str">
        <f>Table_Query_from_sql1[[#This Row],[DateFormatted]]&amp;Table_Query_from_sql1[[#This Row],[Ticker]]</f>
        <v>43420ABBV</v>
      </c>
    </row>
    <row r="156" spans="1:6" x14ac:dyDescent="0.25">
      <c r="A156" t="s">
        <v>255</v>
      </c>
      <c r="B156" t="s">
        <v>256</v>
      </c>
      <c r="C156" s="2">
        <v>-2.2650952827903571E-2</v>
      </c>
      <c r="D156" s="2" t="s">
        <v>159</v>
      </c>
      <c r="E156" s="4">
        <f>IF(LEN(Table_Query_from_sql1[[#This Row],[Date]])&gt;0,DATE(LEFT(Table_Query_from_sql1[[#This Row],[Date]],4),MID(Table_Query_from_sql1[[#This Row],[Date]],6,2),RIGHT(Table_Query_from_sql1[[#This Row],[Date]],2)),"")</f>
        <v>43423</v>
      </c>
      <c r="F156" t="str">
        <f>Table_Query_from_sql1[[#This Row],[DateFormatted]]&amp;Table_Query_from_sql1[[#This Row],[Ticker]]</f>
        <v>43423ABBV</v>
      </c>
    </row>
    <row r="157" spans="1:6" x14ac:dyDescent="0.25">
      <c r="A157" t="s">
        <v>255</v>
      </c>
      <c r="B157" t="s">
        <v>256</v>
      </c>
      <c r="C157" s="2">
        <v>-1.5656584316280059E-2</v>
      </c>
      <c r="D157" s="2" t="s">
        <v>160</v>
      </c>
      <c r="E157" s="4">
        <f>IF(LEN(Table_Query_from_sql1[[#This Row],[Date]])&gt;0,DATE(LEFT(Table_Query_from_sql1[[#This Row],[Date]],4),MID(Table_Query_from_sql1[[#This Row],[Date]],6,2),RIGHT(Table_Query_from_sql1[[#This Row],[Date]],2)),"")</f>
        <v>43424</v>
      </c>
      <c r="F157" t="str">
        <f>Table_Query_from_sql1[[#This Row],[DateFormatted]]&amp;Table_Query_from_sql1[[#This Row],[Ticker]]</f>
        <v>43424ABBV</v>
      </c>
    </row>
    <row r="158" spans="1:6" x14ac:dyDescent="0.25">
      <c r="A158" t="s">
        <v>255</v>
      </c>
      <c r="B158" t="s">
        <v>256</v>
      </c>
      <c r="C158" s="2">
        <v>-2.2269115771572392E-2</v>
      </c>
      <c r="D158" s="2" t="s">
        <v>161</v>
      </c>
      <c r="E158" s="4">
        <f>IF(LEN(Table_Query_from_sql1[[#This Row],[Date]])&gt;0,DATE(LEFT(Table_Query_from_sql1[[#This Row],[Date]],4),MID(Table_Query_from_sql1[[#This Row],[Date]],6,2),RIGHT(Table_Query_from_sql1[[#This Row],[Date]],2)),"")</f>
        <v>43425</v>
      </c>
      <c r="F158" t="str">
        <f>Table_Query_from_sql1[[#This Row],[DateFormatted]]&amp;Table_Query_from_sql1[[#This Row],[Ticker]]</f>
        <v>43425ABBV</v>
      </c>
    </row>
    <row r="159" spans="1:6" x14ac:dyDescent="0.25">
      <c r="A159" t="s">
        <v>255</v>
      </c>
      <c r="B159" t="s">
        <v>256</v>
      </c>
      <c r="C159" s="2">
        <v>-6.054278189613304E-3</v>
      </c>
      <c r="D159" s="2" t="s">
        <v>162</v>
      </c>
      <c r="E159" s="4">
        <f>IF(LEN(Table_Query_from_sql1[[#This Row],[Date]])&gt;0,DATE(LEFT(Table_Query_from_sql1[[#This Row],[Date]],4),MID(Table_Query_from_sql1[[#This Row],[Date]],6,2),RIGHT(Table_Query_from_sql1[[#This Row],[Date]],2)),"")</f>
        <v>43427</v>
      </c>
      <c r="F159" t="str">
        <f>Table_Query_from_sql1[[#This Row],[DateFormatted]]&amp;Table_Query_from_sql1[[#This Row],[Ticker]]</f>
        <v>43427ABBV</v>
      </c>
    </row>
    <row r="160" spans="1:6" x14ac:dyDescent="0.25">
      <c r="A160" t="s">
        <v>255</v>
      </c>
      <c r="B160" t="s">
        <v>256</v>
      </c>
      <c r="C160" s="2">
        <v>7.0983102442729665E-3</v>
      </c>
      <c r="D160" s="2" t="s">
        <v>163</v>
      </c>
      <c r="E160" s="4">
        <f>IF(LEN(Table_Query_from_sql1[[#This Row],[Date]])&gt;0,DATE(LEFT(Table_Query_from_sql1[[#This Row],[Date]],4),MID(Table_Query_from_sql1[[#This Row],[Date]],6,2),RIGHT(Table_Query_from_sql1[[#This Row],[Date]],2)),"")</f>
        <v>43430</v>
      </c>
      <c r="F160" t="str">
        <f>Table_Query_from_sql1[[#This Row],[DateFormatted]]&amp;Table_Query_from_sql1[[#This Row],[Ticker]]</f>
        <v>43430ABBV</v>
      </c>
    </row>
    <row r="161" spans="1:6" x14ac:dyDescent="0.25">
      <c r="A161" t="s">
        <v>255</v>
      </c>
      <c r="B161" t="s">
        <v>256</v>
      </c>
      <c r="C161" s="2">
        <v>1.6560262230454363E-2</v>
      </c>
      <c r="D161" s="2" t="s">
        <v>164</v>
      </c>
      <c r="E161" s="4">
        <f>IF(LEN(Table_Query_from_sql1[[#This Row],[Date]])&gt;0,DATE(LEFT(Table_Query_from_sql1[[#This Row],[Date]],4),MID(Table_Query_from_sql1[[#This Row],[Date]],6,2),RIGHT(Table_Query_from_sql1[[#This Row],[Date]],2)),"")</f>
        <v>43431</v>
      </c>
      <c r="F161" t="str">
        <f>Table_Query_from_sql1[[#This Row],[DateFormatted]]&amp;Table_Query_from_sql1[[#This Row],[Ticker]]</f>
        <v>43431ABBV</v>
      </c>
    </row>
    <row r="162" spans="1:6" x14ac:dyDescent="0.25">
      <c r="A162" t="s">
        <v>255</v>
      </c>
      <c r="B162" t="s">
        <v>256</v>
      </c>
      <c r="C162" s="2">
        <v>1.426777168462098E-2</v>
      </c>
      <c r="D162" s="2" t="s">
        <v>165</v>
      </c>
      <c r="E162" s="4">
        <f>IF(LEN(Table_Query_from_sql1[[#This Row],[Date]])&gt;0,DATE(LEFT(Table_Query_from_sql1[[#This Row],[Date]],4),MID(Table_Query_from_sql1[[#This Row],[Date]],6,2),RIGHT(Table_Query_from_sql1[[#This Row],[Date]],2)),"")</f>
        <v>43432</v>
      </c>
      <c r="F162" t="str">
        <f>Table_Query_from_sql1[[#This Row],[DateFormatted]]&amp;Table_Query_from_sql1[[#This Row],[Ticker]]</f>
        <v>43432ABBV</v>
      </c>
    </row>
    <row r="163" spans="1:6" x14ac:dyDescent="0.25">
      <c r="A163" t="s">
        <v>255</v>
      </c>
      <c r="B163" t="s">
        <v>256</v>
      </c>
      <c r="C163" s="2">
        <v>1.0847776581366273E-2</v>
      </c>
      <c r="D163" s="2" t="s">
        <v>166</v>
      </c>
      <c r="E163" s="4">
        <f>IF(LEN(Table_Query_from_sql1[[#This Row],[Date]])&gt;0,DATE(LEFT(Table_Query_from_sql1[[#This Row],[Date]],4),MID(Table_Query_from_sql1[[#This Row],[Date]],6,2),RIGHT(Table_Query_from_sql1[[#This Row],[Date]],2)),"")</f>
        <v>43433</v>
      </c>
      <c r="F163" t="str">
        <f>Table_Query_from_sql1[[#This Row],[DateFormatted]]&amp;Table_Query_from_sql1[[#This Row],[Ticker]]</f>
        <v>43433ABBV</v>
      </c>
    </row>
    <row r="164" spans="1:6" x14ac:dyDescent="0.25">
      <c r="A164" t="s">
        <v>255</v>
      </c>
      <c r="B164" t="s">
        <v>256</v>
      </c>
      <c r="C164" s="2">
        <v>4.7353012421051784E-2</v>
      </c>
      <c r="D164" s="2" t="s">
        <v>167</v>
      </c>
      <c r="E164" s="4">
        <f>IF(LEN(Table_Query_from_sql1[[#This Row],[Date]])&gt;0,DATE(LEFT(Table_Query_from_sql1[[#This Row],[Date]],4),MID(Table_Query_from_sql1[[#This Row],[Date]],6,2),RIGHT(Table_Query_from_sql1[[#This Row],[Date]],2)),"")</f>
        <v>43434</v>
      </c>
      <c r="F164" t="str">
        <f>Table_Query_from_sql1[[#This Row],[DateFormatted]]&amp;Table_Query_from_sql1[[#This Row],[Ticker]]</f>
        <v>43434ABBV</v>
      </c>
    </row>
    <row r="165" spans="1:6" x14ac:dyDescent="0.25">
      <c r="A165" t="s">
        <v>255</v>
      </c>
      <c r="B165" t="s">
        <v>256</v>
      </c>
      <c r="C165" s="2">
        <v>-6.4917035139755207E-3</v>
      </c>
      <c r="D165" s="2" t="s">
        <v>168</v>
      </c>
      <c r="E165" s="4">
        <f>IF(LEN(Table_Query_from_sql1[[#This Row],[Date]])&gt;0,DATE(LEFT(Table_Query_from_sql1[[#This Row],[Date]],4),MID(Table_Query_from_sql1[[#This Row],[Date]],6,2),RIGHT(Table_Query_from_sql1[[#This Row],[Date]],2)),"")</f>
        <v>43437</v>
      </c>
      <c r="F165" t="str">
        <f>Table_Query_from_sql1[[#This Row],[DateFormatted]]&amp;Table_Query_from_sql1[[#This Row],[Ticker]]</f>
        <v>43437ABBV</v>
      </c>
    </row>
    <row r="166" spans="1:6" x14ac:dyDescent="0.25">
      <c r="A166" t="s">
        <v>255</v>
      </c>
      <c r="B166" t="s">
        <v>256</v>
      </c>
      <c r="C166" s="2">
        <v>-3.3768810072072893E-2</v>
      </c>
      <c r="D166" s="2" t="s">
        <v>169</v>
      </c>
      <c r="E166" s="4">
        <f>IF(LEN(Table_Query_from_sql1[[#This Row],[Date]])&gt;0,DATE(LEFT(Table_Query_from_sql1[[#This Row],[Date]],4),MID(Table_Query_from_sql1[[#This Row],[Date]],6,2),RIGHT(Table_Query_from_sql1[[#This Row],[Date]],2)),"")</f>
        <v>43438</v>
      </c>
      <c r="F166" t="str">
        <f>Table_Query_from_sql1[[#This Row],[DateFormatted]]&amp;Table_Query_from_sql1[[#This Row],[Ticker]]</f>
        <v>43438ABBV</v>
      </c>
    </row>
    <row r="167" spans="1:6" x14ac:dyDescent="0.25">
      <c r="A167" t="s">
        <v>255</v>
      </c>
      <c r="B167" t="s">
        <v>256</v>
      </c>
      <c r="C167" s="2">
        <v>-2.4321666712592001E-3</v>
      </c>
      <c r="D167" s="2" t="s">
        <v>170</v>
      </c>
      <c r="E167" s="4">
        <f>IF(LEN(Table_Query_from_sql1[[#This Row],[Date]])&gt;0,DATE(LEFT(Table_Query_from_sql1[[#This Row],[Date]],4),MID(Table_Query_from_sql1[[#This Row],[Date]],6,2),RIGHT(Table_Query_from_sql1[[#This Row],[Date]],2)),"")</f>
        <v>43440</v>
      </c>
      <c r="F167" t="str">
        <f>Table_Query_from_sql1[[#This Row],[DateFormatted]]&amp;Table_Query_from_sql1[[#This Row],[Ticker]]</f>
        <v>43440ABBV</v>
      </c>
    </row>
    <row r="168" spans="1:6" x14ac:dyDescent="0.25">
      <c r="A168" t="s">
        <v>255</v>
      </c>
      <c r="B168" t="s">
        <v>256</v>
      </c>
      <c r="C168" s="2">
        <v>-3.802173165102133E-2</v>
      </c>
      <c r="D168" s="2" t="s">
        <v>171</v>
      </c>
      <c r="E168" s="4">
        <f>IF(LEN(Table_Query_from_sql1[[#This Row],[Date]])&gt;0,DATE(LEFT(Table_Query_from_sql1[[#This Row],[Date]],4),MID(Table_Query_from_sql1[[#This Row],[Date]],6,2),RIGHT(Table_Query_from_sql1[[#This Row],[Date]],2)),"")</f>
        <v>43441</v>
      </c>
      <c r="F168" t="str">
        <f>Table_Query_from_sql1[[#This Row],[DateFormatted]]&amp;Table_Query_from_sql1[[#This Row],[Ticker]]</f>
        <v>43441ABBV</v>
      </c>
    </row>
    <row r="169" spans="1:6" x14ac:dyDescent="0.25">
      <c r="A169" t="s">
        <v>255</v>
      </c>
      <c r="B169" t="s">
        <v>256</v>
      </c>
      <c r="C169" s="2">
        <v>7.4466189960221939E-3</v>
      </c>
      <c r="D169" s="2" t="s">
        <v>172</v>
      </c>
      <c r="E169" s="4">
        <f>IF(LEN(Table_Query_from_sql1[[#This Row],[Date]])&gt;0,DATE(LEFT(Table_Query_from_sql1[[#This Row],[Date]],4),MID(Table_Query_from_sql1[[#This Row],[Date]],6,2),RIGHT(Table_Query_from_sql1[[#This Row],[Date]],2)),"")</f>
        <v>43444</v>
      </c>
      <c r="F169" t="str">
        <f>Table_Query_from_sql1[[#This Row],[DateFormatted]]&amp;Table_Query_from_sql1[[#This Row],[Ticker]]</f>
        <v>43444ABBV</v>
      </c>
    </row>
    <row r="170" spans="1:6" x14ac:dyDescent="0.25">
      <c r="A170" t="s">
        <v>255</v>
      </c>
      <c r="B170" t="s">
        <v>256</v>
      </c>
      <c r="C170" s="2">
        <v>6.3714510141205365E-3</v>
      </c>
      <c r="D170" s="2" t="s">
        <v>173</v>
      </c>
      <c r="E170" s="4">
        <f>IF(LEN(Table_Query_from_sql1[[#This Row],[Date]])&gt;0,DATE(LEFT(Table_Query_from_sql1[[#This Row],[Date]],4),MID(Table_Query_from_sql1[[#This Row],[Date]],6,2),RIGHT(Table_Query_from_sql1[[#This Row],[Date]],2)),"")</f>
        <v>43445</v>
      </c>
      <c r="F170" t="str">
        <f>Table_Query_from_sql1[[#This Row],[DateFormatted]]&amp;Table_Query_from_sql1[[#This Row],[Ticker]]</f>
        <v>43445ABBV</v>
      </c>
    </row>
    <row r="171" spans="1:6" x14ac:dyDescent="0.25">
      <c r="A171" t="s">
        <v>255</v>
      </c>
      <c r="B171" t="s">
        <v>256</v>
      </c>
      <c r="C171" s="2">
        <v>4.8652031908343624E-3</v>
      </c>
      <c r="D171" s="2" t="s">
        <v>174</v>
      </c>
      <c r="E171" s="4">
        <f>IF(LEN(Table_Query_from_sql1[[#This Row],[Date]])&gt;0,DATE(LEFT(Table_Query_from_sql1[[#This Row],[Date]],4),MID(Table_Query_from_sql1[[#This Row],[Date]],6,2),RIGHT(Table_Query_from_sql1[[#This Row],[Date]],2)),"")</f>
        <v>43446</v>
      </c>
      <c r="F171" t="str">
        <f>Table_Query_from_sql1[[#This Row],[DateFormatted]]&amp;Table_Query_from_sql1[[#This Row],[Ticker]]</f>
        <v>43446ABBV</v>
      </c>
    </row>
    <row r="172" spans="1:6" x14ac:dyDescent="0.25">
      <c r="A172" t="s">
        <v>255</v>
      </c>
      <c r="B172" t="s">
        <v>256</v>
      </c>
      <c r="C172" s="2">
        <v>-1.0095748816752124E-2</v>
      </c>
      <c r="D172" s="2" t="s">
        <v>175</v>
      </c>
      <c r="E172" s="4">
        <f>IF(LEN(Table_Query_from_sql1[[#This Row],[Date]])&gt;0,DATE(LEFT(Table_Query_from_sql1[[#This Row],[Date]],4),MID(Table_Query_from_sql1[[#This Row],[Date]],6,2),RIGHT(Table_Query_from_sql1[[#This Row],[Date]],2)),"")</f>
        <v>43447</v>
      </c>
      <c r="F172" t="str">
        <f>Table_Query_from_sql1[[#This Row],[DateFormatted]]&amp;Table_Query_from_sql1[[#This Row],[Ticker]]</f>
        <v>43447ABBV</v>
      </c>
    </row>
    <row r="173" spans="1:6" x14ac:dyDescent="0.25">
      <c r="A173" t="s">
        <v>255</v>
      </c>
      <c r="B173" t="s">
        <v>256</v>
      </c>
      <c r="C173" s="2">
        <v>-2.4234336338236833E-2</v>
      </c>
      <c r="D173" s="2" t="s">
        <v>176</v>
      </c>
      <c r="E173" s="4">
        <f>IF(LEN(Table_Query_from_sql1[[#This Row],[Date]])&gt;0,DATE(LEFT(Table_Query_from_sql1[[#This Row],[Date]],4),MID(Table_Query_from_sql1[[#This Row],[Date]],6,2),RIGHT(Table_Query_from_sql1[[#This Row],[Date]],2)),"")</f>
        <v>43448</v>
      </c>
      <c r="F173" t="str">
        <f>Table_Query_from_sql1[[#This Row],[DateFormatted]]&amp;Table_Query_from_sql1[[#This Row],[Ticker]]</f>
        <v>43448ABBV</v>
      </c>
    </row>
    <row r="174" spans="1:6" x14ac:dyDescent="0.25">
      <c r="A174" t="s">
        <v>255</v>
      </c>
      <c r="B174" t="s">
        <v>256</v>
      </c>
      <c r="C174" s="2">
        <v>-7.9739871462073657E-3</v>
      </c>
      <c r="D174" s="2" t="s">
        <v>177</v>
      </c>
      <c r="E174" s="4">
        <f>IF(LEN(Table_Query_from_sql1[[#This Row],[Date]])&gt;0,DATE(LEFT(Table_Query_from_sql1[[#This Row],[Date]],4),MID(Table_Query_from_sql1[[#This Row],[Date]],6,2),RIGHT(Table_Query_from_sql1[[#This Row],[Date]],2)),"")</f>
        <v>43451</v>
      </c>
      <c r="F174" t="str">
        <f>Table_Query_from_sql1[[#This Row],[DateFormatted]]&amp;Table_Query_from_sql1[[#This Row],[Ticker]]</f>
        <v>43451ABBV</v>
      </c>
    </row>
    <row r="175" spans="1:6" x14ac:dyDescent="0.25">
      <c r="A175" t="s">
        <v>255</v>
      </c>
      <c r="B175" t="s">
        <v>256</v>
      </c>
      <c r="C175" s="2">
        <v>-1.6023813986240087E-2</v>
      </c>
      <c r="D175" s="2" t="s">
        <v>178</v>
      </c>
      <c r="E175" s="4">
        <f>IF(LEN(Table_Query_from_sql1[[#This Row],[Date]])&gt;0,DATE(LEFT(Table_Query_from_sql1[[#This Row],[Date]],4),MID(Table_Query_from_sql1[[#This Row],[Date]],6,2),RIGHT(Table_Query_from_sql1[[#This Row],[Date]],2)),"")</f>
        <v>43452</v>
      </c>
      <c r="F175" t="str">
        <f>Table_Query_from_sql1[[#This Row],[DateFormatted]]&amp;Table_Query_from_sql1[[#This Row],[Ticker]]</f>
        <v>43452ABBV</v>
      </c>
    </row>
    <row r="176" spans="1:6" x14ac:dyDescent="0.25">
      <c r="A176" t="s">
        <v>255</v>
      </c>
      <c r="B176" t="s">
        <v>256</v>
      </c>
      <c r="C176" s="2">
        <v>-7.1724802772465393E-4</v>
      </c>
      <c r="D176" s="2" t="s">
        <v>179</v>
      </c>
      <c r="E176" s="4">
        <f>IF(LEN(Table_Query_from_sql1[[#This Row],[Date]])&gt;0,DATE(LEFT(Table_Query_from_sql1[[#This Row],[Date]],4),MID(Table_Query_from_sql1[[#This Row],[Date]],6,2),RIGHT(Table_Query_from_sql1[[#This Row],[Date]],2)),"")</f>
        <v>43453</v>
      </c>
      <c r="F176" t="str">
        <f>Table_Query_from_sql1[[#This Row],[DateFormatted]]&amp;Table_Query_from_sql1[[#This Row],[Ticker]]</f>
        <v>43453ABBV</v>
      </c>
    </row>
    <row r="177" spans="1:6" x14ac:dyDescent="0.25">
      <c r="A177" t="s">
        <v>255</v>
      </c>
      <c r="B177" t="s">
        <v>256</v>
      </c>
      <c r="C177" s="2">
        <v>2.1908792567454066E-2</v>
      </c>
      <c r="D177" s="2" t="s">
        <v>180</v>
      </c>
      <c r="E177" s="4">
        <f>IF(LEN(Table_Query_from_sql1[[#This Row],[Date]])&gt;0,DATE(LEFT(Table_Query_from_sql1[[#This Row],[Date]],4),MID(Table_Query_from_sql1[[#This Row],[Date]],6,2),RIGHT(Table_Query_from_sql1[[#This Row],[Date]],2)),"")</f>
        <v>43454</v>
      </c>
      <c r="F177" t="str">
        <f>Table_Query_from_sql1[[#This Row],[DateFormatted]]&amp;Table_Query_from_sql1[[#This Row],[Ticker]]</f>
        <v>43454ABBV</v>
      </c>
    </row>
    <row r="178" spans="1:6" x14ac:dyDescent="0.25">
      <c r="A178" t="s">
        <v>255</v>
      </c>
      <c r="B178" t="s">
        <v>256</v>
      </c>
      <c r="C178" s="2">
        <v>-5.2857337254084754E-3</v>
      </c>
      <c r="D178" s="2" t="s">
        <v>181</v>
      </c>
      <c r="E178" s="4">
        <f>IF(LEN(Table_Query_from_sql1[[#This Row],[Date]])&gt;0,DATE(LEFT(Table_Query_from_sql1[[#This Row],[Date]],4),MID(Table_Query_from_sql1[[#This Row],[Date]],6,2),RIGHT(Table_Query_from_sql1[[#This Row],[Date]],2)),"")</f>
        <v>43455</v>
      </c>
      <c r="F178" t="str">
        <f>Table_Query_from_sql1[[#This Row],[DateFormatted]]&amp;Table_Query_from_sql1[[#This Row],[Ticker]]</f>
        <v>43455ABBV</v>
      </c>
    </row>
    <row r="179" spans="1:6" x14ac:dyDescent="0.25">
      <c r="A179" t="s">
        <v>255</v>
      </c>
      <c r="B179" t="s">
        <v>256</v>
      </c>
      <c r="C179" s="2">
        <v>-8.9899869919405767E-3</v>
      </c>
      <c r="D179" s="2" t="s">
        <v>182</v>
      </c>
      <c r="E179" s="4">
        <f>IF(LEN(Table_Query_from_sql1[[#This Row],[Date]])&gt;0,DATE(LEFT(Table_Query_from_sql1[[#This Row],[Date]],4),MID(Table_Query_from_sql1[[#This Row],[Date]],6,2),RIGHT(Table_Query_from_sql1[[#This Row],[Date]],2)),"")</f>
        <v>43458</v>
      </c>
      <c r="F179" t="str">
        <f>Table_Query_from_sql1[[#This Row],[DateFormatted]]&amp;Table_Query_from_sql1[[#This Row],[Ticker]]</f>
        <v>43458ABBV</v>
      </c>
    </row>
    <row r="180" spans="1:6" x14ac:dyDescent="0.25">
      <c r="A180" t="s">
        <v>255</v>
      </c>
      <c r="B180" t="s">
        <v>256</v>
      </c>
      <c r="C180" s="2">
        <v>5.6366265968900944E-2</v>
      </c>
      <c r="D180" s="2" t="s">
        <v>183</v>
      </c>
      <c r="E180" s="4">
        <f>IF(LEN(Table_Query_from_sql1[[#This Row],[Date]])&gt;0,DATE(LEFT(Table_Query_from_sql1[[#This Row],[Date]],4),MID(Table_Query_from_sql1[[#This Row],[Date]],6,2),RIGHT(Table_Query_from_sql1[[#This Row],[Date]],2)),"")</f>
        <v>43460</v>
      </c>
      <c r="F180" t="str">
        <f>Table_Query_from_sql1[[#This Row],[DateFormatted]]&amp;Table_Query_from_sql1[[#This Row],[Ticker]]</f>
        <v>43460ABBV</v>
      </c>
    </row>
    <row r="181" spans="1:6" x14ac:dyDescent="0.25">
      <c r="A181" t="s">
        <v>255</v>
      </c>
      <c r="B181" t="s">
        <v>256</v>
      </c>
      <c r="C181" s="2">
        <v>9.7239227824553291E-3</v>
      </c>
      <c r="D181" s="2" t="s">
        <v>184</v>
      </c>
      <c r="E181" s="4">
        <f>IF(LEN(Table_Query_from_sql1[[#This Row],[Date]])&gt;0,DATE(LEFT(Table_Query_from_sql1[[#This Row],[Date]],4),MID(Table_Query_from_sql1[[#This Row],[Date]],6,2),RIGHT(Table_Query_from_sql1[[#This Row],[Date]],2)),"")</f>
        <v>43461</v>
      </c>
      <c r="F181" t="str">
        <f>Table_Query_from_sql1[[#This Row],[DateFormatted]]&amp;Table_Query_from_sql1[[#This Row],[Ticker]]</f>
        <v>43461ABBV</v>
      </c>
    </row>
    <row r="182" spans="1:6" x14ac:dyDescent="0.25">
      <c r="A182" t="s">
        <v>255</v>
      </c>
      <c r="B182" t="s">
        <v>256</v>
      </c>
      <c r="C182" s="2">
        <v>1.3367701366687306E-2</v>
      </c>
      <c r="D182" s="2" t="s">
        <v>185</v>
      </c>
      <c r="E182" s="4">
        <f>IF(LEN(Table_Query_from_sql1[[#This Row],[Date]])&gt;0,DATE(LEFT(Table_Query_from_sql1[[#This Row],[Date]],4),MID(Table_Query_from_sql1[[#This Row],[Date]],6,2),RIGHT(Table_Query_from_sql1[[#This Row],[Date]],2)),"")</f>
        <v>43462</v>
      </c>
      <c r="F182" t="str">
        <f>Table_Query_from_sql1[[#This Row],[DateFormatted]]&amp;Table_Query_from_sql1[[#This Row],[Ticker]]</f>
        <v>43462ABBV</v>
      </c>
    </row>
    <row r="183" spans="1:6" x14ac:dyDescent="0.25">
      <c r="A183" t="s">
        <v>255</v>
      </c>
      <c r="B183" t="s">
        <v>256</v>
      </c>
      <c r="C183" s="2">
        <v>1.1673950422918132E-2</v>
      </c>
      <c r="D183" s="2" t="s">
        <v>186</v>
      </c>
      <c r="E183" s="4">
        <f>IF(LEN(Table_Query_from_sql1[[#This Row],[Date]])&gt;0,DATE(LEFT(Table_Query_from_sql1[[#This Row],[Date]],4),MID(Table_Query_from_sql1[[#This Row],[Date]],6,2),RIGHT(Table_Query_from_sql1[[#This Row],[Date]],2)),"")</f>
        <v>43465</v>
      </c>
      <c r="F183" t="str">
        <f>Table_Query_from_sql1[[#This Row],[DateFormatted]]&amp;Table_Query_from_sql1[[#This Row],[Ticker]]</f>
        <v>43465ABBV</v>
      </c>
    </row>
    <row r="184" spans="1:6" x14ac:dyDescent="0.25">
      <c r="A184" t="s">
        <v>255</v>
      </c>
      <c r="B184" t="s">
        <v>256</v>
      </c>
      <c r="C184" s="2">
        <v>-3.2633952693783781E-2</v>
      </c>
      <c r="D184" s="2" t="s">
        <v>187</v>
      </c>
      <c r="E184" s="4">
        <f>IF(LEN(Table_Query_from_sql1[[#This Row],[Date]])&gt;0,DATE(LEFT(Table_Query_from_sql1[[#This Row],[Date]],4),MID(Table_Query_from_sql1[[#This Row],[Date]],6,2),RIGHT(Table_Query_from_sql1[[#This Row],[Date]],2)),"")</f>
        <v>43467</v>
      </c>
      <c r="F184" t="str">
        <f>Table_Query_from_sql1[[#This Row],[DateFormatted]]&amp;Table_Query_from_sql1[[#This Row],[Ticker]]</f>
        <v>43467ABBV</v>
      </c>
    </row>
    <row r="185" spans="1:6" x14ac:dyDescent="0.25">
      <c r="A185" t="s">
        <v>255</v>
      </c>
      <c r="B185" t="s">
        <v>256</v>
      </c>
      <c r="C185" s="2">
        <v>-3.3503832083241758E-2</v>
      </c>
      <c r="D185" s="2" t="s">
        <v>188</v>
      </c>
      <c r="E185" s="4">
        <f>IF(LEN(Table_Query_from_sql1[[#This Row],[Date]])&gt;0,DATE(LEFT(Table_Query_from_sql1[[#This Row],[Date]],4),MID(Table_Query_from_sql1[[#This Row],[Date]],6,2),RIGHT(Table_Query_from_sql1[[#This Row],[Date]],2)),"")</f>
        <v>43468</v>
      </c>
      <c r="F185" t="str">
        <f>Table_Query_from_sql1[[#This Row],[DateFormatted]]&amp;Table_Query_from_sql1[[#This Row],[Ticker]]</f>
        <v>43468ABBV</v>
      </c>
    </row>
    <row r="186" spans="1:6" x14ac:dyDescent="0.25">
      <c r="A186" t="s">
        <v>255</v>
      </c>
      <c r="B186" t="s">
        <v>256</v>
      </c>
      <c r="C186" s="2">
        <v>3.1708665605064926E-2</v>
      </c>
      <c r="D186" s="2" t="s">
        <v>189</v>
      </c>
      <c r="E186" s="4">
        <f>IF(LEN(Table_Query_from_sql1[[#This Row],[Date]])&gt;0,DATE(LEFT(Table_Query_from_sql1[[#This Row],[Date]],4),MID(Table_Query_from_sql1[[#This Row],[Date]],6,2),RIGHT(Table_Query_from_sql1[[#This Row],[Date]],2)),"")</f>
        <v>43469</v>
      </c>
      <c r="F186" t="str">
        <f>Table_Query_from_sql1[[#This Row],[DateFormatted]]&amp;Table_Query_from_sql1[[#This Row],[Ticker]]</f>
        <v>43469ABBV</v>
      </c>
    </row>
    <row r="187" spans="1:6" x14ac:dyDescent="0.25">
      <c r="A187" t="s">
        <v>255</v>
      </c>
      <c r="B187" t="s">
        <v>256</v>
      </c>
      <c r="C187" s="2">
        <v>1.4490350055896866E-2</v>
      </c>
      <c r="D187" s="2" t="s">
        <v>190</v>
      </c>
      <c r="E187" s="4">
        <f>IF(LEN(Table_Query_from_sql1[[#This Row],[Date]])&gt;0,DATE(LEFT(Table_Query_from_sql1[[#This Row],[Date]],4),MID(Table_Query_from_sql1[[#This Row],[Date]],6,2),RIGHT(Table_Query_from_sql1[[#This Row],[Date]],2)),"")</f>
        <v>43472</v>
      </c>
      <c r="F187" t="str">
        <f>Table_Query_from_sql1[[#This Row],[DateFormatted]]&amp;Table_Query_from_sql1[[#This Row],[Ticker]]</f>
        <v>43472ABBV</v>
      </c>
    </row>
    <row r="188" spans="1:6" x14ac:dyDescent="0.25">
      <c r="A188" t="s">
        <v>255</v>
      </c>
      <c r="B188" t="s">
        <v>256</v>
      </c>
      <c r="C188" s="2">
        <v>4.6366665156107913E-3</v>
      </c>
      <c r="D188" s="2" t="s">
        <v>191</v>
      </c>
      <c r="E188" s="4">
        <f>IF(LEN(Table_Query_from_sql1[[#This Row],[Date]])&gt;0,DATE(LEFT(Table_Query_from_sql1[[#This Row],[Date]],4),MID(Table_Query_from_sql1[[#This Row],[Date]],6,2),RIGHT(Table_Query_from_sql1[[#This Row],[Date]],2)),"")</f>
        <v>43473</v>
      </c>
      <c r="F188" t="str">
        <f>Table_Query_from_sql1[[#This Row],[DateFormatted]]&amp;Table_Query_from_sql1[[#This Row],[Ticker]]</f>
        <v>43473ABBV</v>
      </c>
    </row>
    <row r="189" spans="1:6" x14ac:dyDescent="0.25">
      <c r="A189" t="s">
        <v>255</v>
      </c>
      <c r="B189" t="s">
        <v>256</v>
      </c>
      <c r="C189" s="2">
        <v>-3.337381908586344E-2</v>
      </c>
      <c r="D189" s="2" t="s">
        <v>192</v>
      </c>
      <c r="E189" s="4">
        <f>IF(LEN(Table_Query_from_sql1[[#This Row],[Date]])&gt;0,DATE(LEFT(Table_Query_from_sql1[[#This Row],[Date]],4),MID(Table_Query_from_sql1[[#This Row],[Date]],6,2),RIGHT(Table_Query_from_sql1[[#This Row],[Date]],2)),"")</f>
        <v>43474</v>
      </c>
      <c r="F189" t="str">
        <f>Table_Query_from_sql1[[#This Row],[DateFormatted]]&amp;Table_Query_from_sql1[[#This Row],[Ticker]]</f>
        <v>43474ABBV</v>
      </c>
    </row>
    <row r="190" spans="1:6" x14ac:dyDescent="0.25">
      <c r="A190" t="s">
        <v>255</v>
      </c>
      <c r="B190" t="s">
        <v>256</v>
      </c>
      <c r="C190" s="2">
        <v>4.4318630145099144E-3</v>
      </c>
      <c r="D190" s="2" t="s">
        <v>193</v>
      </c>
      <c r="E190" s="4">
        <f>IF(LEN(Table_Query_from_sql1[[#This Row],[Date]])&gt;0,DATE(LEFT(Table_Query_from_sql1[[#This Row],[Date]],4),MID(Table_Query_from_sql1[[#This Row],[Date]],6,2),RIGHT(Table_Query_from_sql1[[#This Row],[Date]],2)),"")</f>
        <v>43475</v>
      </c>
      <c r="F190" t="str">
        <f>Table_Query_from_sql1[[#This Row],[DateFormatted]]&amp;Table_Query_from_sql1[[#This Row],[Ticker]]</f>
        <v>43475ABBV</v>
      </c>
    </row>
    <row r="191" spans="1:6" x14ac:dyDescent="0.25">
      <c r="A191" t="s">
        <v>255</v>
      </c>
      <c r="B191" t="s">
        <v>256</v>
      </c>
      <c r="C191" s="2">
        <v>1.2456172748700433E-3</v>
      </c>
      <c r="D191" s="2" t="s">
        <v>194</v>
      </c>
      <c r="E191" s="4">
        <f>IF(LEN(Table_Query_from_sql1[[#This Row],[Date]])&gt;0,DATE(LEFT(Table_Query_from_sql1[[#This Row],[Date]],4),MID(Table_Query_from_sql1[[#This Row],[Date]],6,2),RIGHT(Table_Query_from_sql1[[#This Row],[Date]],2)),"")</f>
        <v>43476</v>
      </c>
      <c r="F191" t="str">
        <f>Table_Query_from_sql1[[#This Row],[DateFormatted]]&amp;Table_Query_from_sql1[[#This Row],[Ticker]]</f>
        <v>43476ABBV</v>
      </c>
    </row>
    <row r="192" spans="1:6" x14ac:dyDescent="0.25">
      <c r="A192" t="s">
        <v>255</v>
      </c>
      <c r="B192" t="s">
        <v>256</v>
      </c>
      <c r="C192" s="2">
        <v>-2.8839207933329891E-2</v>
      </c>
      <c r="D192" s="2" t="s">
        <v>195</v>
      </c>
      <c r="E192" s="4">
        <f>IF(LEN(Table_Query_from_sql1[[#This Row],[Date]])&gt;0,DATE(LEFT(Table_Query_from_sql1[[#This Row],[Date]],4),MID(Table_Query_from_sql1[[#This Row],[Date]],6,2),RIGHT(Table_Query_from_sql1[[#This Row],[Date]],2)),"")</f>
        <v>43479</v>
      </c>
      <c r="F192" t="str">
        <f>Table_Query_from_sql1[[#This Row],[DateFormatted]]&amp;Table_Query_from_sql1[[#This Row],[Ticker]]</f>
        <v>43479ABBV</v>
      </c>
    </row>
    <row r="193" spans="1:6" x14ac:dyDescent="0.25">
      <c r="A193" t="s">
        <v>255</v>
      </c>
      <c r="B193" t="s">
        <v>256</v>
      </c>
      <c r="C193" s="2">
        <v>8.6926425426160445E-3</v>
      </c>
      <c r="D193" s="2" t="s">
        <v>196</v>
      </c>
      <c r="E193" s="4">
        <f>IF(LEN(Table_Query_from_sql1[[#This Row],[Date]])&gt;0,DATE(LEFT(Table_Query_from_sql1[[#This Row],[Date]],4),MID(Table_Query_from_sql1[[#This Row],[Date]],6,2),RIGHT(Table_Query_from_sql1[[#This Row],[Date]],2)),"")</f>
        <v>43480</v>
      </c>
      <c r="F193" t="str">
        <f>Table_Query_from_sql1[[#This Row],[DateFormatted]]&amp;Table_Query_from_sql1[[#This Row],[Ticker]]</f>
        <v>43480ABBV</v>
      </c>
    </row>
    <row r="194" spans="1:6" x14ac:dyDescent="0.25">
      <c r="A194" t="s">
        <v>255</v>
      </c>
      <c r="B194" t="s">
        <v>256</v>
      </c>
      <c r="C194" s="2">
        <v>5.8462439548787883E-4</v>
      </c>
      <c r="D194" s="2" t="s">
        <v>197</v>
      </c>
      <c r="E194" s="4">
        <f>IF(LEN(Table_Query_from_sql1[[#This Row],[Date]])&gt;0,DATE(LEFT(Table_Query_from_sql1[[#This Row],[Date]],4),MID(Table_Query_from_sql1[[#This Row],[Date]],6,2),RIGHT(Table_Query_from_sql1[[#This Row],[Date]],2)),"")</f>
        <v>43481</v>
      </c>
      <c r="F194" t="str">
        <f>Table_Query_from_sql1[[#This Row],[DateFormatted]]&amp;Table_Query_from_sql1[[#This Row],[Ticker]]</f>
        <v>43481ABBV</v>
      </c>
    </row>
    <row r="195" spans="1:6" x14ac:dyDescent="0.25">
      <c r="A195" t="s">
        <v>255</v>
      </c>
      <c r="B195" t="s">
        <v>256</v>
      </c>
      <c r="C195" s="2">
        <v>1.9103330576731605E-2</v>
      </c>
      <c r="D195" s="2" t="s">
        <v>198</v>
      </c>
      <c r="E195" s="4">
        <f>IF(LEN(Table_Query_from_sql1[[#This Row],[Date]])&gt;0,DATE(LEFT(Table_Query_from_sql1[[#This Row],[Date]],4),MID(Table_Query_from_sql1[[#This Row],[Date]],6,2),RIGHT(Table_Query_from_sql1[[#This Row],[Date]],2)),"")</f>
        <v>43482</v>
      </c>
      <c r="F195" t="str">
        <f>Table_Query_from_sql1[[#This Row],[DateFormatted]]&amp;Table_Query_from_sql1[[#This Row],[Ticker]]</f>
        <v>43482ABBV</v>
      </c>
    </row>
    <row r="196" spans="1:6" x14ac:dyDescent="0.25">
      <c r="A196" t="s">
        <v>255</v>
      </c>
      <c r="B196" t="s">
        <v>256</v>
      </c>
      <c r="C196" s="2">
        <v>2.6034294365875614E-2</v>
      </c>
      <c r="D196" s="2" t="s">
        <v>199</v>
      </c>
      <c r="E196" s="4">
        <f>IF(LEN(Table_Query_from_sql1[[#This Row],[Date]])&gt;0,DATE(LEFT(Table_Query_from_sql1[[#This Row],[Date]],4),MID(Table_Query_from_sql1[[#This Row],[Date]],6,2),RIGHT(Table_Query_from_sql1[[#This Row],[Date]],2)),"")</f>
        <v>43483</v>
      </c>
      <c r="F196" t="str">
        <f>Table_Query_from_sql1[[#This Row],[DateFormatted]]&amp;Table_Query_from_sql1[[#This Row],[Ticker]]</f>
        <v>43483ABBV</v>
      </c>
    </row>
    <row r="197" spans="1:6" x14ac:dyDescent="0.25">
      <c r="A197" t="s">
        <v>255</v>
      </c>
      <c r="B197" t="s">
        <v>256</v>
      </c>
      <c r="C197" s="2">
        <v>-9.4297959639022769E-3</v>
      </c>
      <c r="D197" s="2" t="s">
        <v>200</v>
      </c>
      <c r="E197" s="4">
        <f>IF(LEN(Table_Query_from_sql1[[#This Row],[Date]])&gt;0,DATE(LEFT(Table_Query_from_sql1[[#This Row],[Date]],4),MID(Table_Query_from_sql1[[#This Row],[Date]],6,2),RIGHT(Table_Query_from_sql1[[#This Row],[Date]],2)),"")</f>
        <v>43487</v>
      </c>
      <c r="F197" t="str">
        <f>Table_Query_from_sql1[[#This Row],[DateFormatted]]&amp;Table_Query_from_sql1[[#This Row],[Ticker]]</f>
        <v>43487ABBV</v>
      </c>
    </row>
    <row r="198" spans="1:6" x14ac:dyDescent="0.25">
      <c r="A198" t="s">
        <v>255</v>
      </c>
      <c r="B198" t="s">
        <v>256</v>
      </c>
      <c r="C198" s="2">
        <v>-2.3714087111131312E-3</v>
      </c>
      <c r="D198" s="2" t="s">
        <v>201</v>
      </c>
      <c r="E198" s="4">
        <f>IF(LEN(Table_Query_from_sql1[[#This Row],[Date]])&gt;0,DATE(LEFT(Table_Query_from_sql1[[#This Row],[Date]],4),MID(Table_Query_from_sql1[[#This Row],[Date]],6,2),RIGHT(Table_Query_from_sql1[[#This Row],[Date]],2)),"")</f>
        <v>43488</v>
      </c>
      <c r="F198" t="str">
        <f>Table_Query_from_sql1[[#This Row],[DateFormatted]]&amp;Table_Query_from_sql1[[#This Row],[Ticker]]</f>
        <v>43488ABBV</v>
      </c>
    </row>
    <row r="199" spans="1:6" x14ac:dyDescent="0.25">
      <c r="A199" t="s">
        <v>255</v>
      </c>
      <c r="B199" t="s">
        <v>256</v>
      </c>
      <c r="C199" s="2">
        <v>-2.9486447595214103E-2</v>
      </c>
      <c r="D199" s="2" t="s">
        <v>202</v>
      </c>
      <c r="E199" s="4">
        <f>IF(LEN(Table_Query_from_sql1[[#This Row],[Date]])&gt;0,DATE(LEFT(Table_Query_from_sql1[[#This Row],[Date]],4),MID(Table_Query_from_sql1[[#This Row],[Date]],6,2),RIGHT(Table_Query_from_sql1[[#This Row],[Date]],2)),"")</f>
        <v>43489</v>
      </c>
      <c r="F199" t="str">
        <f>Table_Query_from_sql1[[#This Row],[DateFormatted]]&amp;Table_Query_from_sql1[[#This Row],[Ticker]]</f>
        <v>43489ABBV</v>
      </c>
    </row>
    <row r="200" spans="1:6" x14ac:dyDescent="0.25">
      <c r="A200" t="s">
        <v>255</v>
      </c>
      <c r="B200" t="s">
        <v>256</v>
      </c>
      <c r="C200" s="2">
        <v>-6.419701758727199E-2</v>
      </c>
      <c r="D200" s="2" t="s">
        <v>203</v>
      </c>
      <c r="E200" s="4">
        <f>IF(LEN(Table_Query_from_sql1[[#This Row],[Date]])&gt;0,DATE(LEFT(Table_Query_from_sql1[[#This Row],[Date]],4),MID(Table_Query_from_sql1[[#This Row],[Date]],6,2),RIGHT(Table_Query_from_sql1[[#This Row],[Date]],2)),"")</f>
        <v>43490</v>
      </c>
      <c r="F200" t="str">
        <f>Table_Query_from_sql1[[#This Row],[DateFormatted]]&amp;Table_Query_from_sql1[[#This Row],[Ticker]]</f>
        <v>43490ABBV</v>
      </c>
    </row>
    <row r="201" spans="1:6" x14ac:dyDescent="0.25">
      <c r="A201" t="s">
        <v>255</v>
      </c>
      <c r="B201" t="s">
        <v>256</v>
      </c>
      <c r="C201" s="2">
        <v>-4.3132002643226426E-2</v>
      </c>
      <c r="D201" s="2" t="s">
        <v>204</v>
      </c>
      <c r="E201" s="4">
        <f>IF(LEN(Table_Query_from_sql1[[#This Row],[Date]])&gt;0,DATE(LEFT(Table_Query_from_sql1[[#This Row],[Date]],4),MID(Table_Query_from_sql1[[#This Row],[Date]],6,2),RIGHT(Table_Query_from_sql1[[#This Row],[Date]],2)),"")</f>
        <v>43493</v>
      </c>
      <c r="F201" t="str">
        <f>Table_Query_from_sql1[[#This Row],[DateFormatted]]&amp;Table_Query_from_sql1[[#This Row],[Ticker]]</f>
        <v>43493ABBV</v>
      </c>
    </row>
    <row r="202" spans="1:6" x14ac:dyDescent="0.25">
      <c r="A202" t="s">
        <v>255</v>
      </c>
      <c r="B202" t="s">
        <v>256</v>
      </c>
      <c r="C202" s="2">
        <v>4.268811863729371E-3</v>
      </c>
      <c r="D202" s="2" t="s">
        <v>205</v>
      </c>
      <c r="E202" s="4">
        <f>IF(LEN(Table_Query_from_sql1[[#This Row],[Date]])&gt;0,DATE(LEFT(Table_Query_from_sql1[[#This Row],[Date]],4),MID(Table_Query_from_sql1[[#This Row],[Date]],6,2),RIGHT(Table_Query_from_sql1[[#This Row],[Date]],2)),"")</f>
        <v>43494</v>
      </c>
      <c r="F202" t="str">
        <f>Table_Query_from_sql1[[#This Row],[DateFormatted]]&amp;Table_Query_from_sql1[[#This Row],[Ticker]]</f>
        <v>43494ABBV</v>
      </c>
    </row>
    <row r="203" spans="1:6" x14ac:dyDescent="0.25">
      <c r="A203" t="s">
        <v>255</v>
      </c>
      <c r="B203" t="s">
        <v>256</v>
      </c>
      <c r="C203" s="2">
        <v>2.0316293224728343E-2</v>
      </c>
      <c r="D203" s="2" t="s">
        <v>206</v>
      </c>
      <c r="E203" s="4">
        <f>IF(LEN(Table_Query_from_sql1[[#This Row],[Date]])&gt;0,DATE(LEFT(Table_Query_from_sql1[[#This Row],[Date]],4),MID(Table_Query_from_sql1[[#This Row],[Date]],6,2),RIGHT(Table_Query_from_sql1[[#This Row],[Date]],2)),"")</f>
        <v>43495</v>
      </c>
      <c r="F203" t="str">
        <f>Table_Query_from_sql1[[#This Row],[DateFormatted]]&amp;Table_Query_from_sql1[[#This Row],[Ticker]]</f>
        <v>43495ABBV</v>
      </c>
    </row>
    <row r="204" spans="1:6" x14ac:dyDescent="0.25">
      <c r="A204" t="s">
        <v>255</v>
      </c>
      <c r="B204" t="s">
        <v>256</v>
      </c>
      <c r="C204" s="2">
        <v>1.5438022328053178E-2</v>
      </c>
      <c r="D204" s="2" t="s">
        <v>207</v>
      </c>
      <c r="E204" s="4">
        <f>IF(LEN(Table_Query_from_sql1[[#This Row],[Date]])&gt;0,DATE(LEFT(Table_Query_from_sql1[[#This Row],[Date]],4),MID(Table_Query_from_sql1[[#This Row],[Date]],6,2),RIGHT(Table_Query_from_sql1[[#This Row],[Date]],2)),"")</f>
        <v>43496</v>
      </c>
      <c r="F204" t="str">
        <f>Table_Query_from_sql1[[#This Row],[DateFormatted]]&amp;Table_Query_from_sql1[[#This Row],[Ticker]]</f>
        <v>43496ABBV</v>
      </c>
    </row>
    <row r="205" spans="1:6" x14ac:dyDescent="0.25">
      <c r="A205" t="s">
        <v>255</v>
      </c>
      <c r="B205" t="s">
        <v>256</v>
      </c>
      <c r="C205" s="2">
        <v>2.6121042279249611E-3</v>
      </c>
      <c r="D205" s="2" t="s">
        <v>208</v>
      </c>
      <c r="E205" s="4">
        <f>IF(LEN(Table_Query_from_sql1[[#This Row],[Date]])&gt;0,DATE(LEFT(Table_Query_from_sql1[[#This Row],[Date]],4),MID(Table_Query_from_sql1[[#This Row],[Date]],6,2),RIGHT(Table_Query_from_sql1[[#This Row],[Date]],2)),"")</f>
        <v>43497</v>
      </c>
      <c r="F205" t="str">
        <f>Table_Query_from_sql1[[#This Row],[DateFormatted]]&amp;Table_Query_from_sql1[[#This Row],[Ticker]]</f>
        <v>43497ABBV</v>
      </c>
    </row>
    <row r="206" spans="1:6" x14ac:dyDescent="0.25">
      <c r="A206" t="s">
        <v>255</v>
      </c>
      <c r="B206" t="s">
        <v>256</v>
      </c>
      <c r="C206" s="2">
        <v>-2.4776467037734371E-2</v>
      </c>
      <c r="D206" s="2" t="s">
        <v>209</v>
      </c>
      <c r="E206" s="4">
        <f>IF(LEN(Table_Query_from_sql1[[#This Row],[Date]])&gt;0,DATE(LEFT(Table_Query_from_sql1[[#This Row],[Date]],4),MID(Table_Query_from_sql1[[#This Row],[Date]],6,2),RIGHT(Table_Query_from_sql1[[#This Row],[Date]],2)),"")</f>
        <v>43500</v>
      </c>
      <c r="F206" t="str">
        <f>Table_Query_from_sql1[[#This Row],[DateFormatted]]&amp;Table_Query_from_sql1[[#This Row],[Ticker]]</f>
        <v>43500ABBV</v>
      </c>
    </row>
    <row r="207" spans="1:6" x14ac:dyDescent="0.25">
      <c r="A207" t="s">
        <v>255</v>
      </c>
      <c r="B207" t="s">
        <v>256</v>
      </c>
      <c r="C207" s="2">
        <v>1.4663390022873472E-2</v>
      </c>
      <c r="D207" s="2" t="s">
        <v>210</v>
      </c>
      <c r="E207" s="4">
        <f>IF(LEN(Table_Query_from_sql1[[#This Row],[Date]])&gt;0,DATE(LEFT(Table_Query_from_sql1[[#This Row],[Date]],4),MID(Table_Query_from_sql1[[#This Row],[Date]],6,2),RIGHT(Table_Query_from_sql1[[#This Row],[Date]],2)),"")</f>
        <v>43501</v>
      </c>
      <c r="F207" t="str">
        <f>Table_Query_from_sql1[[#This Row],[DateFormatted]]&amp;Table_Query_from_sql1[[#This Row],[Ticker]]</f>
        <v>43501ABBV</v>
      </c>
    </row>
    <row r="208" spans="1:6" x14ac:dyDescent="0.25">
      <c r="A208" t="s">
        <v>255</v>
      </c>
      <c r="B208" t="s">
        <v>256</v>
      </c>
      <c r="C208" s="2">
        <v>-7.6841091072406354E-3</v>
      </c>
      <c r="D208" s="2" t="s">
        <v>211</v>
      </c>
      <c r="E208" s="4">
        <f>IF(LEN(Table_Query_from_sql1[[#This Row],[Date]])&gt;0,DATE(LEFT(Table_Query_from_sql1[[#This Row],[Date]],4),MID(Table_Query_from_sql1[[#This Row],[Date]],6,2),RIGHT(Table_Query_from_sql1[[#This Row],[Date]],2)),"")</f>
        <v>43502</v>
      </c>
      <c r="F208" t="str">
        <f>Table_Query_from_sql1[[#This Row],[DateFormatted]]&amp;Table_Query_from_sql1[[#This Row],[Ticker]]</f>
        <v>43502ABBV</v>
      </c>
    </row>
    <row r="209" spans="1:6" x14ac:dyDescent="0.25">
      <c r="A209" t="s">
        <v>255</v>
      </c>
      <c r="B209" t="s">
        <v>256</v>
      </c>
      <c r="C209" s="2">
        <v>1.1374408809262846E-3</v>
      </c>
      <c r="D209" s="2" t="s">
        <v>212</v>
      </c>
      <c r="E209" s="4">
        <f>IF(LEN(Table_Query_from_sql1[[#This Row],[Date]])&gt;0,DATE(LEFT(Table_Query_from_sql1[[#This Row],[Date]],4),MID(Table_Query_from_sql1[[#This Row],[Date]],6,2),RIGHT(Table_Query_from_sql1[[#This Row],[Date]],2)),"")</f>
        <v>43503</v>
      </c>
      <c r="F209" t="str">
        <f>Table_Query_from_sql1[[#This Row],[DateFormatted]]&amp;Table_Query_from_sql1[[#This Row],[Ticker]]</f>
        <v>43503ABBV</v>
      </c>
    </row>
    <row r="210" spans="1:6" x14ac:dyDescent="0.25">
      <c r="A210" t="s">
        <v>255</v>
      </c>
      <c r="B210" t="s">
        <v>256</v>
      </c>
      <c r="C210" s="2">
        <v>6.2956642089322086E-3</v>
      </c>
      <c r="D210" s="2" t="s">
        <v>213</v>
      </c>
      <c r="E210" s="4">
        <f>IF(LEN(Table_Query_from_sql1[[#This Row],[Date]])&gt;0,DATE(LEFT(Table_Query_from_sql1[[#This Row],[Date]],4),MID(Table_Query_from_sql1[[#This Row],[Date]],6,2),RIGHT(Table_Query_from_sql1[[#This Row],[Date]],2)),"")</f>
        <v>43504</v>
      </c>
      <c r="F210" t="str">
        <f>Table_Query_from_sql1[[#This Row],[DateFormatted]]&amp;Table_Query_from_sql1[[#This Row],[Ticker]]</f>
        <v>43504ABBV</v>
      </c>
    </row>
    <row r="211" spans="1:6" x14ac:dyDescent="0.25">
      <c r="A211" t="s">
        <v>255</v>
      </c>
      <c r="B211" t="s">
        <v>256</v>
      </c>
      <c r="C211" s="2">
        <v>1.2543905307634768E-3</v>
      </c>
      <c r="D211" s="2" t="s">
        <v>214</v>
      </c>
      <c r="E211" s="4">
        <f>IF(LEN(Table_Query_from_sql1[[#This Row],[Date]])&gt;0,DATE(LEFT(Table_Query_from_sql1[[#This Row],[Date]],4),MID(Table_Query_from_sql1[[#This Row],[Date]],6,2),RIGHT(Table_Query_from_sql1[[#This Row],[Date]],2)),"")</f>
        <v>43507</v>
      </c>
      <c r="F211" t="str">
        <f>Table_Query_from_sql1[[#This Row],[DateFormatted]]&amp;Table_Query_from_sql1[[#This Row],[Ticker]]</f>
        <v>43507ABBV</v>
      </c>
    </row>
    <row r="212" spans="1:6" x14ac:dyDescent="0.25">
      <c r="A212" t="s">
        <v>255</v>
      </c>
      <c r="B212" t="s">
        <v>256</v>
      </c>
      <c r="C212" s="2">
        <v>2.0037577148897599E-3</v>
      </c>
      <c r="D212" s="2" t="s">
        <v>215</v>
      </c>
      <c r="E212" s="4">
        <f>IF(LEN(Table_Query_from_sql1[[#This Row],[Date]])&gt;0,DATE(LEFT(Table_Query_from_sql1[[#This Row],[Date]],4),MID(Table_Query_from_sql1[[#This Row],[Date]],6,2),RIGHT(Table_Query_from_sql1[[#This Row],[Date]],2)),"")</f>
        <v>43508</v>
      </c>
      <c r="F212" t="str">
        <f>Table_Query_from_sql1[[#This Row],[DateFormatted]]&amp;Table_Query_from_sql1[[#This Row],[Ticker]]</f>
        <v>43508ABBV</v>
      </c>
    </row>
    <row r="213" spans="1:6" x14ac:dyDescent="0.25">
      <c r="A213" t="s">
        <v>255</v>
      </c>
      <c r="B213" t="s">
        <v>256</v>
      </c>
      <c r="C213" s="2">
        <v>1.0701943853689652E-2</v>
      </c>
      <c r="D213" s="2" t="s">
        <v>216</v>
      </c>
      <c r="E213" s="4">
        <f>IF(LEN(Table_Query_from_sql1[[#This Row],[Date]])&gt;0,DATE(LEFT(Table_Query_from_sql1[[#This Row],[Date]],4),MID(Table_Query_from_sql1[[#This Row],[Date]],6,2),RIGHT(Table_Query_from_sql1[[#This Row],[Date]],2)),"")</f>
        <v>43509</v>
      </c>
      <c r="F213" t="str">
        <f>Table_Query_from_sql1[[#This Row],[DateFormatted]]&amp;Table_Query_from_sql1[[#This Row],[Ticker]]</f>
        <v>43509ABBV</v>
      </c>
    </row>
    <row r="214" spans="1:6" x14ac:dyDescent="0.25">
      <c r="A214" t="s">
        <v>255</v>
      </c>
      <c r="B214" t="s">
        <v>256</v>
      </c>
      <c r="C214" s="2">
        <v>-3.347594720026627E-3</v>
      </c>
      <c r="D214" s="2" t="s">
        <v>217</v>
      </c>
      <c r="E214" s="4">
        <f>IF(LEN(Table_Query_from_sql1[[#This Row],[Date]])&gt;0,DATE(LEFT(Table_Query_from_sql1[[#This Row],[Date]],4),MID(Table_Query_from_sql1[[#This Row],[Date]],6,2),RIGHT(Table_Query_from_sql1[[#This Row],[Date]],2)),"")</f>
        <v>43510</v>
      </c>
      <c r="F214" t="str">
        <f>Table_Query_from_sql1[[#This Row],[DateFormatted]]&amp;Table_Query_from_sql1[[#This Row],[Ticker]]</f>
        <v>43510ABBV</v>
      </c>
    </row>
    <row r="215" spans="1:6" x14ac:dyDescent="0.25">
      <c r="A215" t="s">
        <v>255</v>
      </c>
      <c r="B215" t="s">
        <v>256</v>
      </c>
      <c r="C215" s="2">
        <v>4.0899852515250664E-3</v>
      </c>
      <c r="D215" s="2" t="s">
        <v>218</v>
      </c>
      <c r="E215" s="4">
        <f>IF(LEN(Table_Query_from_sql1[[#This Row],[Date]])&gt;0,DATE(LEFT(Table_Query_from_sql1[[#This Row],[Date]],4),MID(Table_Query_from_sql1[[#This Row],[Date]],6,2),RIGHT(Table_Query_from_sql1[[#This Row],[Date]],2)),"")</f>
        <v>43511</v>
      </c>
      <c r="F215" t="str">
        <f>Table_Query_from_sql1[[#This Row],[DateFormatted]]&amp;Table_Query_from_sql1[[#This Row],[Ticker]]</f>
        <v>43511ABBV</v>
      </c>
    </row>
    <row r="216" spans="1:6" x14ac:dyDescent="0.25">
      <c r="A216" t="s">
        <v>255</v>
      </c>
      <c r="B216" t="s">
        <v>256</v>
      </c>
      <c r="C216" s="2">
        <v>-4.0899852515250551E-3</v>
      </c>
      <c r="D216" s="2" t="s">
        <v>219</v>
      </c>
      <c r="E216" s="4">
        <f>IF(LEN(Table_Query_from_sql1[[#This Row],[Date]])&gt;0,DATE(LEFT(Table_Query_from_sql1[[#This Row],[Date]],4),MID(Table_Query_from_sql1[[#This Row],[Date]],6,2),RIGHT(Table_Query_from_sql1[[#This Row],[Date]],2)),"")</f>
        <v>43515</v>
      </c>
      <c r="F216" t="str">
        <f>Table_Query_from_sql1[[#This Row],[DateFormatted]]&amp;Table_Query_from_sql1[[#This Row],[Ticker]]</f>
        <v>43515ABBV</v>
      </c>
    </row>
    <row r="217" spans="1:6" x14ac:dyDescent="0.25">
      <c r="A217" t="s">
        <v>255</v>
      </c>
      <c r="B217" t="s">
        <v>256</v>
      </c>
      <c r="C217" s="2">
        <v>-6.6039739108602379E-3</v>
      </c>
      <c r="D217" s="2" t="s">
        <v>220</v>
      </c>
      <c r="E217" s="4">
        <f>IF(LEN(Table_Query_from_sql1[[#This Row],[Date]])&gt;0,DATE(LEFT(Table_Query_from_sql1[[#This Row],[Date]],4),MID(Table_Query_from_sql1[[#This Row],[Date]],6,2),RIGHT(Table_Query_from_sql1[[#This Row],[Date]],2)),"")</f>
        <v>43516</v>
      </c>
      <c r="F217" t="str">
        <f>Table_Query_from_sql1[[#This Row],[DateFormatted]]&amp;Table_Query_from_sql1[[#This Row],[Ticker]]</f>
        <v>43516ABBV</v>
      </c>
    </row>
    <row r="218" spans="1:6" x14ac:dyDescent="0.25">
      <c r="A218" t="s">
        <v>255</v>
      </c>
      <c r="B218" t="s">
        <v>256</v>
      </c>
      <c r="C218" s="2">
        <v>-1.5623349154988041E-2</v>
      </c>
      <c r="D218" s="2" t="s">
        <v>221</v>
      </c>
      <c r="E218" s="4">
        <f>IF(LEN(Table_Query_from_sql1[[#This Row],[Date]])&gt;0,DATE(LEFT(Table_Query_from_sql1[[#This Row],[Date]],4),MID(Table_Query_from_sql1[[#This Row],[Date]],6,2),RIGHT(Table_Query_from_sql1[[#This Row],[Date]],2)),"")</f>
        <v>43517</v>
      </c>
      <c r="F218" t="str">
        <f>Table_Query_from_sql1[[#This Row],[DateFormatted]]&amp;Table_Query_from_sql1[[#This Row],[Ticker]]</f>
        <v>43517ABBV</v>
      </c>
    </row>
    <row r="219" spans="1:6" x14ac:dyDescent="0.25">
      <c r="A219" t="s">
        <v>255</v>
      </c>
      <c r="B219" t="s">
        <v>256</v>
      </c>
      <c r="C219" s="2">
        <v>1.599832572334639E-2</v>
      </c>
      <c r="D219" s="2" t="s">
        <v>222</v>
      </c>
      <c r="E219" s="4">
        <f>IF(LEN(Table_Query_from_sql1[[#This Row],[Date]])&gt;0,DATE(LEFT(Table_Query_from_sql1[[#This Row],[Date]],4),MID(Table_Query_from_sql1[[#This Row],[Date]],6,2),RIGHT(Table_Query_from_sql1[[#This Row],[Date]],2)),"")</f>
        <v>43518</v>
      </c>
      <c r="F219" t="str">
        <f>Table_Query_from_sql1[[#This Row],[DateFormatted]]&amp;Table_Query_from_sql1[[#This Row],[Ticker]]</f>
        <v>43518ABBV</v>
      </c>
    </row>
    <row r="220" spans="1:6" x14ac:dyDescent="0.25">
      <c r="A220" t="s">
        <v>255</v>
      </c>
      <c r="B220" t="s">
        <v>256</v>
      </c>
      <c r="C220" s="2">
        <v>3.3684767675037819E-3</v>
      </c>
      <c r="D220" s="2" t="s">
        <v>223</v>
      </c>
      <c r="E220" s="4">
        <f>IF(LEN(Table_Query_from_sql1[[#This Row],[Date]])&gt;0,DATE(LEFT(Table_Query_from_sql1[[#This Row],[Date]],4),MID(Table_Query_from_sql1[[#This Row],[Date]],6,2),RIGHT(Table_Query_from_sql1[[#This Row],[Date]],2)),"")</f>
        <v>43521</v>
      </c>
      <c r="F220" t="str">
        <f>Table_Query_from_sql1[[#This Row],[DateFormatted]]&amp;Table_Query_from_sql1[[#This Row],[Ticker]]</f>
        <v>43521ABBV</v>
      </c>
    </row>
    <row r="221" spans="1:6" x14ac:dyDescent="0.25">
      <c r="A221" t="s">
        <v>255</v>
      </c>
      <c r="B221" t="s">
        <v>256</v>
      </c>
      <c r="C221" s="2">
        <v>2.7363201152968164E-3</v>
      </c>
      <c r="D221" s="2" t="s">
        <v>224</v>
      </c>
      <c r="E221" s="4">
        <f>IF(LEN(Table_Query_from_sql1[[#This Row],[Date]])&gt;0,DATE(LEFT(Table_Query_from_sql1[[#This Row],[Date]],4),MID(Table_Query_from_sql1[[#This Row],[Date]],6,2),RIGHT(Table_Query_from_sql1[[#This Row],[Date]],2)),"")</f>
        <v>43522</v>
      </c>
      <c r="F221" t="str">
        <f>Table_Query_from_sql1[[#This Row],[DateFormatted]]&amp;Table_Query_from_sql1[[#This Row],[Ticker]]</f>
        <v>43522ABBV</v>
      </c>
    </row>
    <row r="222" spans="1:6" x14ac:dyDescent="0.25">
      <c r="A222" t="s">
        <v>255</v>
      </c>
      <c r="B222" t="s">
        <v>256</v>
      </c>
      <c r="C222" s="2">
        <v>-1.3757095404769855E-2</v>
      </c>
      <c r="D222" s="2" t="s">
        <v>225</v>
      </c>
      <c r="E222" s="4">
        <f>IF(LEN(Table_Query_from_sql1[[#This Row],[Date]])&gt;0,DATE(LEFT(Table_Query_from_sql1[[#This Row],[Date]],4),MID(Table_Query_from_sql1[[#This Row],[Date]],6,2),RIGHT(Table_Query_from_sql1[[#This Row],[Date]],2)),"")</f>
        <v>43523</v>
      </c>
      <c r="F222" t="str">
        <f>Table_Query_from_sql1[[#This Row],[DateFormatted]]&amp;Table_Query_from_sql1[[#This Row],[Ticker]]</f>
        <v>43523ABBV</v>
      </c>
    </row>
    <row r="223" spans="1:6" x14ac:dyDescent="0.25">
      <c r="A223" t="s">
        <v>255</v>
      </c>
      <c r="B223" t="s">
        <v>256</v>
      </c>
      <c r="C223" s="2">
        <v>-2.1430830767693982E-3</v>
      </c>
      <c r="D223" s="2" t="s">
        <v>226</v>
      </c>
      <c r="E223" s="4">
        <f>IF(LEN(Table_Query_from_sql1[[#This Row],[Date]])&gt;0,DATE(LEFT(Table_Query_from_sql1[[#This Row],[Date]],4),MID(Table_Query_from_sql1[[#This Row],[Date]],6,2),RIGHT(Table_Query_from_sql1[[#This Row],[Date]],2)),"")</f>
        <v>43524</v>
      </c>
      <c r="F223" t="str">
        <f>Table_Query_from_sql1[[#This Row],[DateFormatted]]&amp;Table_Query_from_sql1[[#This Row],[Ticker]]</f>
        <v>43524ABBV</v>
      </c>
    </row>
    <row r="224" spans="1:6" x14ac:dyDescent="0.25">
      <c r="A224" t="s">
        <v>255</v>
      </c>
      <c r="B224" t="s">
        <v>256</v>
      </c>
      <c r="C224" s="2">
        <v>1.0794632243963402E-2</v>
      </c>
      <c r="D224" s="2" t="s">
        <v>227</v>
      </c>
      <c r="E224" s="4">
        <f>IF(LEN(Table_Query_from_sql1[[#This Row],[Date]])&gt;0,DATE(LEFT(Table_Query_from_sql1[[#This Row],[Date]],4),MID(Table_Query_from_sql1[[#This Row],[Date]],6,2),RIGHT(Table_Query_from_sql1[[#This Row],[Date]],2)),"")</f>
        <v>43525</v>
      </c>
      <c r="F224" t="str">
        <f>Table_Query_from_sql1[[#This Row],[DateFormatted]]&amp;Table_Query_from_sql1[[#This Row],[Ticker]]</f>
        <v>43525ABBV</v>
      </c>
    </row>
    <row r="225" spans="1:6" x14ac:dyDescent="0.25">
      <c r="A225" t="s">
        <v>255</v>
      </c>
      <c r="B225" t="s">
        <v>256</v>
      </c>
      <c r="C225" s="2">
        <v>-8.0221036878606062E-3</v>
      </c>
      <c r="D225" s="2" t="s">
        <v>228</v>
      </c>
      <c r="E225" s="4">
        <f>IF(LEN(Table_Query_from_sql1[[#This Row],[Date]])&gt;0,DATE(LEFT(Table_Query_from_sql1[[#This Row],[Date]],4),MID(Table_Query_from_sql1[[#This Row],[Date]],6,2),RIGHT(Table_Query_from_sql1[[#This Row],[Date]],2)),"")</f>
        <v>43528</v>
      </c>
      <c r="F225" t="str">
        <f>Table_Query_from_sql1[[#This Row],[DateFormatted]]&amp;Table_Query_from_sql1[[#This Row],[Ticker]]</f>
        <v>43528ABBV</v>
      </c>
    </row>
    <row r="226" spans="1:6" x14ac:dyDescent="0.25">
      <c r="A226" t="s">
        <v>255</v>
      </c>
      <c r="B226" t="s">
        <v>256</v>
      </c>
      <c r="C226" s="2">
        <v>-6.9457878535091897E-3</v>
      </c>
      <c r="D226" s="2" t="s">
        <v>229</v>
      </c>
      <c r="E226" s="4">
        <f>IF(LEN(Table_Query_from_sql1[[#This Row],[Date]])&gt;0,DATE(LEFT(Table_Query_from_sql1[[#This Row],[Date]],4),MID(Table_Query_from_sql1[[#This Row],[Date]],6,2),RIGHT(Table_Query_from_sql1[[#This Row],[Date]],2)),"")</f>
        <v>43529</v>
      </c>
      <c r="F226" t="str">
        <f>Table_Query_from_sql1[[#This Row],[DateFormatted]]&amp;Table_Query_from_sql1[[#This Row],[Ticker]]</f>
        <v>43529ABBV</v>
      </c>
    </row>
    <row r="227" spans="1:6" x14ac:dyDescent="0.25">
      <c r="A227" t="s">
        <v>255</v>
      </c>
      <c r="B227" t="s">
        <v>256</v>
      </c>
      <c r="C227" s="2">
        <v>-1.0445954858359821E-2</v>
      </c>
      <c r="D227" s="2" t="s">
        <v>230</v>
      </c>
      <c r="E227" s="4">
        <f>IF(LEN(Table_Query_from_sql1[[#This Row],[Date]])&gt;0,DATE(LEFT(Table_Query_from_sql1[[#This Row],[Date]],4),MID(Table_Query_from_sql1[[#This Row],[Date]],6,2),RIGHT(Table_Query_from_sql1[[#This Row],[Date]],2)),"")</f>
        <v>43530</v>
      </c>
      <c r="F227" t="str">
        <f>Table_Query_from_sql1[[#This Row],[DateFormatted]]&amp;Table_Query_from_sql1[[#This Row],[Ticker]]</f>
        <v>43530ABBV</v>
      </c>
    </row>
    <row r="228" spans="1:6" x14ac:dyDescent="0.25">
      <c r="A228" t="s">
        <v>255</v>
      </c>
      <c r="B228" t="s">
        <v>256</v>
      </c>
      <c r="C228" s="2">
        <v>1.9190180519781182E-3</v>
      </c>
      <c r="D228" s="2" t="s">
        <v>231</v>
      </c>
      <c r="E228" s="4">
        <f>IF(LEN(Table_Query_from_sql1[[#This Row],[Date]])&gt;0,DATE(LEFT(Table_Query_from_sql1[[#This Row],[Date]],4),MID(Table_Query_from_sql1[[#This Row],[Date]],6,2),RIGHT(Table_Query_from_sql1[[#This Row],[Date]],2)),"")</f>
        <v>43531</v>
      </c>
      <c r="F228" t="str">
        <f>Table_Query_from_sql1[[#This Row],[DateFormatted]]&amp;Table_Query_from_sql1[[#This Row],[Ticker]]</f>
        <v>43531ABBV</v>
      </c>
    </row>
    <row r="229" spans="1:6" x14ac:dyDescent="0.25">
      <c r="A229" t="s">
        <v>255</v>
      </c>
      <c r="B229" t="s">
        <v>256</v>
      </c>
      <c r="C229" s="2">
        <v>-8.47136371474079E-3</v>
      </c>
      <c r="D229" s="2" t="s">
        <v>232</v>
      </c>
      <c r="E229" s="4">
        <f>IF(LEN(Table_Query_from_sql1[[#This Row],[Date]])&gt;0,DATE(LEFT(Table_Query_from_sql1[[#This Row],[Date]],4),MID(Table_Query_from_sql1[[#This Row],[Date]],6,2),RIGHT(Table_Query_from_sql1[[#This Row],[Date]],2)),"")</f>
        <v>43532</v>
      </c>
      <c r="F229" t="str">
        <f>Table_Query_from_sql1[[#This Row],[DateFormatted]]&amp;Table_Query_from_sql1[[#This Row],[Ticker]]</f>
        <v>43532ABBV</v>
      </c>
    </row>
    <row r="230" spans="1:6" x14ac:dyDescent="0.25">
      <c r="A230" t="s">
        <v>255</v>
      </c>
      <c r="B230" t="s">
        <v>256</v>
      </c>
      <c r="C230" s="2">
        <v>6.424280093015918E-3</v>
      </c>
      <c r="D230" s="2" t="s">
        <v>233</v>
      </c>
      <c r="E230" s="4">
        <f>IF(LEN(Table_Query_from_sql1[[#This Row],[Date]])&gt;0,DATE(LEFT(Table_Query_from_sql1[[#This Row],[Date]],4),MID(Table_Query_from_sql1[[#This Row],[Date]],6,2),RIGHT(Table_Query_from_sql1[[#This Row],[Date]],2)),"")</f>
        <v>43535</v>
      </c>
      <c r="F230" t="str">
        <f>Table_Query_from_sql1[[#This Row],[DateFormatted]]&amp;Table_Query_from_sql1[[#This Row],[Ticker]]</f>
        <v>43535ABBV</v>
      </c>
    </row>
    <row r="231" spans="1:6" x14ac:dyDescent="0.25">
      <c r="A231" t="s">
        <v>255</v>
      </c>
      <c r="B231" t="s">
        <v>256</v>
      </c>
      <c r="C231" s="2">
        <v>8.4173434107543913E-3</v>
      </c>
      <c r="D231" s="2" t="s">
        <v>234</v>
      </c>
      <c r="E231" s="4">
        <f>IF(LEN(Table_Query_from_sql1[[#This Row],[Date]])&gt;0,DATE(LEFT(Table_Query_from_sql1[[#This Row],[Date]],4),MID(Table_Query_from_sql1[[#This Row],[Date]],6,2),RIGHT(Table_Query_from_sql1[[#This Row],[Date]],2)),"")</f>
        <v>43536</v>
      </c>
      <c r="F231" t="str">
        <f>Table_Query_from_sql1[[#This Row],[DateFormatted]]&amp;Table_Query_from_sql1[[#This Row],[Ticker]]</f>
        <v>43536ABBV</v>
      </c>
    </row>
    <row r="232" spans="1:6" x14ac:dyDescent="0.25">
      <c r="A232" t="s">
        <v>255</v>
      </c>
      <c r="B232" t="s">
        <v>256</v>
      </c>
      <c r="C232" s="2">
        <v>2.4100982047197544E-3</v>
      </c>
      <c r="D232" s="2" t="s">
        <v>235</v>
      </c>
      <c r="E232" s="4">
        <f>IF(LEN(Table_Query_from_sql1[[#This Row],[Date]])&gt;0,DATE(LEFT(Table_Query_from_sql1[[#This Row],[Date]],4),MID(Table_Query_from_sql1[[#This Row],[Date]],6,2),RIGHT(Table_Query_from_sql1[[#This Row],[Date]],2)),"")</f>
        <v>43537</v>
      </c>
      <c r="F232" t="str">
        <f>Table_Query_from_sql1[[#This Row],[DateFormatted]]&amp;Table_Query_from_sql1[[#This Row],[Ticker]]</f>
        <v>43537ABBV</v>
      </c>
    </row>
    <row r="233" spans="1:6" x14ac:dyDescent="0.25">
      <c r="A233" t="s">
        <v>255</v>
      </c>
      <c r="B233" t="s">
        <v>256</v>
      </c>
      <c r="C233" s="2">
        <v>1.2840055559652118E-2</v>
      </c>
      <c r="D233" s="2" t="s">
        <v>236</v>
      </c>
      <c r="E233" s="4">
        <f>IF(LEN(Table_Query_from_sql1[[#This Row],[Date]])&gt;0,DATE(LEFT(Table_Query_from_sql1[[#This Row],[Date]],4),MID(Table_Query_from_sql1[[#This Row],[Date]],6,2),RIGHT(Table_Query_from_sql1[[#This Row],[Date]],2)),"")</f>
        <v>43538</v>
      </c>
      <c r="F233" t="str">
        <f>Table_Query_from_sql1[[#This Row],[DateFormatted]]&amp;Table_Query_from_sql1[[#This Row],[Ticker]]</f>
        <v>43538ABBV</v>
      </c>
    </row>
    <row r="234" spans="1:6" x14ac:dyDescent="0.25">
      <c r="A234" t="s">
        <v>255</v>
      </c>
      <c r="B234" t="s">
        <v>256</v>
      </c>
      <c r="C234" s="2">
        <v>1.7236461199115226E-2</v>
      </c>
      <c r="D234" s="2" t="s">
        <v>237</v>
      </c>
      <c r="E234" s="4">
        <f>IF(LEN(Table_Query_from_sql1[[#This Row],[Date]])&gt;0,DATE(LEFT(Table_Query_from_sql1[[#This Row],[Date]],4),MID(Table_Query_from_sql1[[#This Row],[Date]],6,2),RIGHT(Table_Query_from_sql1[[#This Row],[Date]],2)),"")</f>
        <v>43539</v>
      </c>
      <c r="F234" t="str">
        <f>Table_Query_from_sql1[[#This Row],[DateFormatted]]&amp;Table_Query_from_sql1[[#This Row],[Ticker]]</f>
        <v>43539ABBV</v>
      </c>
    </row>
    <row r="235" spans="1:6" x14ac:dyDescent="0.25">
      <c r="A235" t="s">
        <v>255</v>
      </c>
      <c r="B235" t="s">
        <v>256</v>
      </c>
      <c r="C235" s="2">
        <v>-8.5190959078605324E-3</v>
      </c>
      <c r="D235" s="2" t="s">
        <v>238</v>
      </c>
      <c r="E235" s="4">
        <f>IF(LEN(Table_Query_from_sql1[[#This Row],[Date]])&gt;0,DATE(LEFT(Table_Query_from_sql1[[#This Row],[Date]],4),MID(Table_Query_from_sql1[[#This Row],[Date]],6,2),RIGHT(Table_Query_from_sql1[[#This Row],[Date]],2)),"")</f>
        <v>43542</v>
      </c>
      <c r="F235" t="str">
        <f>Table_Query_from_sql1[[#This Row],[DateFormatted]]&amp;Table_Query_from_sql1[[#This Row],[Ticker]]</f>
        <v>43542ABBV</v>
      </c>
    </row>
    <row r="236" spans="1:6" x14ac:dyDescent="0.25">
      <c r="A236" t="s">
        <v>255</v>
      </c>
      <c r="B236" t="s">
        <v>256</v>
      </c>
      <c r="C236" s="2">
        <v>2.1056550791095272E-3</v>
      </c>
      <c r="D236" s="2" t="s">
        <v>239</v>
      </c>
      <c r="E236" s="4">
        <f>IF(LEN(Table_Query_from_sql1[[#This Row],[Date]])&gt;0,DATE(LEFT(Table_Query_from_sql1[[#This Row],[Date]],4),MID(Table_Query_from_sql1[[#This Row],[Date]],6,2),RIGHT(Table_Query_from_sql1[[#This Row],[Date]],2)),"")</f>
        <v>43543</v>
      </c>
      <c r="F236" t="str">
        <f>Table_Query_from_sql1[[#This Row],[DateFormatted]]&amp;Table_Query_from_sql1[[#This Row],[Ticker]]</f>
        <v>43543ABBV</v>
      </c>
    </row>
    <row r="237" spans="1:6" x14ac:dyDescent="0.25">
      <c r="A237" t="s">
        <v>255</v>
      </c>
      <c r="B237" t="s">
        <v>256</v>
      </c>
      <c r="C237" s="2">
        <v>-4.8372187343498759E-3</v>
      </c>
      <c r="D237" s="2" t="s">
        <v>240</v>
      </c>
      <c r="E237" s="4">
        <f>IF(LEN(Table_Query_from_sql1[[#This Row],[Date]])&gt;0,DATE(LEFT(Table_Query_from_sql1[[#This Row],[Date]],4),MID(Table_Query_from_sql1[[#This Row],[Date]],6,2),RIGHT(Table_Query_from_sql1[[#This Row],[Date]],2)),"")</f>
        <v>43544</v>
      </c>
      <c r="F237" t="str">
        <f>Table_Query_from_sql1[[#This Row],[DateFormatted]]&amp;Table_Query_from_sql1[[#This Row],[Ticker]]</f>
        <v>43544ABBV</v>
      </c>
    </row>
    <row r="238" spans="1:6" x14ac:dyDescent="0.25">
      <c r="A238" t="s">
        <v>255</v>
      </c>
      <c r="B238" t="s">
        <v>256</v>
      </c>
      <c r="C238" s="2">
        <v>1.0020495796206256E-2</v>
      </c>
      <c r="D238" s="2" t="s">
        <v>241</v>
      </c>
      <c r="E238" s="4">
        <f>IF(LEN(Table_Query_from_sql1[[#This Row],[Date]])&gt;0,DATE(LEFT(Table_Query_from_sql1[[#This Row],[Date]],4),MID(Table_Query_from_sql1[[#This Row],[Date]],6,2),RIGHT(Table_Query_from_sql1[[#This Row],[Date]],2)),"")</f>
        <v>43545</v>
      </c>
      <c r="F238" t="str">
        <f>Table_Query_from_sql1[[#This Row],[DateFormatted]]&amp;Table_Query_from_sql1[[#This Row],[Ticker]]</f>
        <v>43545ABBV</v>
      </c>
    </row>
    <row r="239" spans="1:6" x14ac:dyDescent="0.25">
      <c r="A239" t="s">
        <v>255</v>
      </c>
      <c r="B239" t="s">
        <v>256</v>
      </c>
      <c r="C239" s="2">
        <v>-1.8385611058600947E-2</v>
      </c>
      <c r="D239" s="2" t="s">
        <v>242</v>
      </c>
      <c r="E239" s="4">
        <f>IF(LEN(Table_Query_from_sql1[[#This Row],[Date]])&gt;0,DATE(LEFT(Table_Query_from_sql1[[#This Row],[Date]],4),MID(Table_Query_from_sql1[[#This Row],[Date]],6,2),RIGHT(Table_Query_from_sql1[[#This Row],[Date]],2)),"")</f>
        <v>43546</v>
      </c>
      <c r="F239" t="str">
        <f>Table_Query_from_sql1[[#This Row],[DateFormatted]]&amp;Table_Query_from_sql1[[#This Row],[Ticker]]</f>
        <v>43546ABBV</v>
      </c>
    </row>
    <row r="240" spans="1:6" x14ac:dyDescent="0.25">
      <c r="A240" t="s">
        <v>255</v>
      </c>
      <c r="B240" t="s">
        <v>256</v>
      </c>
      <c r="C240" s="2">
        <v>-3.139325740190779E-3</v>
      </c>
      <c r="D240" s="2" t="s">
        <v>243</v>
      </c>
      <c r="E240" s="4">
        <f>IF(LEN(Table_Query_from_sql1[[#This Row],[Date]])&gt;0,DATE(LEFT(Table_Query_from_sql1[[#This Row],[Date]],4),MID(Table_Query_from_sql1[[#This Row],[Date]],6,2),RIGHT(Table_Query_from_sql1[[#This Row],[Date]],2)),"")</f>
        <v>43549</v>
      </c>
      <c r="F240" t="str">
        <f>Table_Query_from_sql1[[#This Row],[DateFormatted]]&amp;Table_Query_from_sql1[[#This Row],[Ticker]]</f>
        <v>43549ABBV</v>
      </c>
    </row>
    <row r="241" spans="1:6" x14ac:dyDescent="0.25">
      <c r="A241" t="s">
        <v>255</v>
      </c>
      <c r="B241" t="s">
        <v>256</v>
      </c>
      <c r="C241" s="2">
        <v>1.5598993531244689E-2</v>
      </c>
      <c r="D241" s="2" t="s">
        <v>244</v>
      </c>
      <c r="E241" s="4">
        <f>IF(LEN(Table_Query_from_sql1[[#This Row],[Date]])&gt;0,DATE(LEFT(Table_Query_from_sql1[[#This Row],[Date]],4),MID(Table_Query_from_sql1[[#This Row],[Date]],6,2),RIGHT(Table_Query_from_sql1[[#This Row],[Date]],2)),"")</f>
        <v>43550</v>
      </c>
      <c r="F241" t="str">
        <f>Table_Query_from_sql1[[#This Row],[DateFormatted]]&amp;Table_Query_from_sql1[[#This Row],[Ticker]]</f>
        <v>43550ABBV</v>
      </c>
    </row>
    <row r="242" spans="1:6" x14ac:dyDescent="0.25">
      <c r="A242" t="s">
        <v>255</v>
      </c>
      <c r="B242" t="s">
        <v>256</v>
      </c>
      <c r="C242" s="2">
        <v>-1.0831104950686267E-2</v>
      </c>
      <c r="D242" s="2" t="s">
        <v>245</v>
      </c>
      <c r="E242" s="4">
        <f>IF(LEN(Table_Query_from_sql1[[#This Row],[Date]])&gt;0,DATE(LEFT(Table_Query_from_sql1[[#This Row],[Date]],4),MID(Table_Query_from_sql1[[#This Row],[Date]],6,2),RIGHT(Table_Query_from_sql1[[#This Row],[Date]],2)),"")</f>
        <v>43551</v>
      </c>
      <c r="F242" t="str">
        <f>Table_Query_from_sql1[[#This Row],[DateFormatted]]&amp;Table_Query_from_sql1[[#This Row],[Ticker]]</f>
        <v>43551ABBV</v>
      </c>
    </row>
    <row r="243" spans="1:6" x14ac:dyDescent="0.25">
      <c r="A243" t="s">
        <v>255</v>
      </c>
      <c r="B243" t="s">
        <v>256</v>
      </c>
      <c r="C243" s="2">
        <v>8.7582113824878041E-4</v>
      </c>
      <c r="D243" s="2" t="s">
        <v>246</v>
      </c>
      <c r="E243" s="4">
        <f>IF(LEN(Table_Query_from_sql1[[#This Row],[Date]])&gt;0,DATE(LEFT(Table_Query_from_sql1[[#This Row],[Date]],4),MID(Table_Query_from_sql1[[#This Row],[Date]],6,2),RIGHT(Table_Query_from_sql1[[#This Row],[Date]],2)),"")</f>
        <v>43552</v>
      </c>
      <c r="F243" t="str">
        <f>Table_Query_from_sql1[[#This Row],[DateFormatted]]&amp;Table_Query_from_sql1[[#This Row],[Ticker]]</f>
        <v>43552ABBV</v>
      </c>
    </row>
    <row r="244" spans="1:6" x14ac:dyDescent="0.25">
      <c r="A244" t="s">
        <v>255</v>
      </c>
      <c r="B244" t="s">
        <v>256</v>
      </c>
      <c r="C244" s="2">
        <v>7.8480627042207159E-3</v>
      </c>
      <c r="D244" s="2" t="s">
        <v>247</v>
      </c>
      <c r="E244" s="4">
        <f>IF(LEN(Table_Query_from_sql1[[#This Row],[Date]])&gt;0,DATE(LEFT(Table_Query_from_sql1[[#This Row],[Date]],4),MID(Table_Query_from_sql1[[#This Row],[Date]],6,2),RIGHT(Table_Query_from_sql1[[#This Row],[Date]],2)),"")</f>
        <v>43553</v>
      </c>
      <c r="F244" t="str">
        <f>Table_Query_from_sql1[[#This Row],[DateFormatted]]&amp;Table_Query_from_sql1[[#This Row],[Ticker]]</f>
        <v>43553ABBV</v>
      </c>
    </row>
    <row r="245" spans="1:6" x14ac:dyDescent="0.25">
      <c r="A245" t="s">
        <v>255</v>
      </c>
      <c r="B245" t="s">
        <v>256</v>
      </c>
      <c r="C245" s="2">
        <v>2.3548377988469268E-3</v>
      </c>
      <c r="D245" s="2" t="s">
        <v>248</v>
      </c>
      <c r="E245" s="4">
        <f>IF(LEN(Table_Query_from_sql1[[#This Row],[Date]])&gt;0,DATE(LEFT(Table_Query_from_sql1[[#This Row],[Date]],4),MID(Table_Query_from_sql1[[#This Row],[Date]],6,2),RIGHT(Table_Query_from_sql1[[#This Row],[Date]],2)),"")</f>
        <v>43556</v>
      </c>
      <c r="F245" t="str">
        <f>Table_Query_from_sql1[[#This Row],[DateFormatted]]&amp;Table_Query_from_sql1[[#This Row],[Ticker]]</f>
        <v>43556ABBV</v>
      </c>
    </row>
    <row r="246" spans="1:6" x14ac:dyDescent="0.25">
      <c r="A246" t="s">
        <v>255</v>
      </c>
      <c r="B246" t="s">
        <v>256</v>
      </c>
      <c r="C246" s="2">
        <v>2.7954215715713195E-2</v>
      </c>
      <c r="D246" s="2" t="s">
        <v>249</v>
      </c>
      <c r="E246" s="4">
        <f>IF(LEN(Table_Query_from_sql1[[#This Row],[Date]])&gt;0,DATE(LEFT(Table_Query_from_sql1[[#This Row],[Date]],4),MID(Table_Query_from_sql1[[#This Row],[Date]],6,2),RIGHT(Table_Query_from_sql1[[#This Row],[Date]],2)),"")</f>
        <v>43557</v>
      </c>
      <c r="F246" t="str">
        <f>Table_Query_from_sql1[[#This Row],[DateFormatted]]&amp;Table_Query_from_sql1[[#This Row],[Ticker]]</f>
        <v>43557ABBV</v>
      </c>
    </row>
    <row r="247" spans="1:6" x14ac:dyDescent="0.25">
      <c r="A247" t="s">
        <v>255</v>
      </c>
      <c r="B247" t="s">
        <v>256</v>
      </c>
      <c r="C247" s="2">
        <v>1.2037315693147139E-4</v>
      </c>
      <c r="D247" s="2" t="s">
        <v>250</v>
      </c>
      <c r="E247" s="4">
        <f>IF(LEN(Table_Query_from_sql1[[#This Row],[Date]])&gt;0,DATE(LEFT(Table_Query_from_sql1[[#This Row],[Date]],4),MID(Table_Query_from_sql1[[#This Row],[Date]],6,2),RIGHT(Table_Query_from_sql1[[#This Row],[Date]],2)),"")</f>
        <v>43558</v>
      </c>
      <c r="F247" t="str">
        <f>Table_Query_from_sql1[[#This Row],[DateFormatted]]&amp;Table_Query_from_sql1[[#This Row],[Ticker]]</f>
        <v>43558ABBV</v>
      </c>
    </row>
    <row r="248" spans="1:6" x14ac:dyDescent="0.25">
      <c r="A248" t="s">
        <v>255</v>
      </c>
      <c r="B248" t="s">
        <v>256</v>
      </c>
      <c r="C248" s="2">
        <v>-3.2551719623028427E-3</v>
      </c>
      <c r="D248" s="2" t="s">
        <v>251</v>
      </c>
      <c r="E248" s="4">
        <f>IF(LEN(Table_Query_from_sql1[[#This Row],[Date]])&gt;0,DATE(LEFT(Table_Query_from_sql1[[#This Row],[Date]],4),MID(Table_Query_from_sql1[[#This Row],[Date]],6,2),RIGHT(Table_Query_from_sql1[[#This Row],[Date]],2)),"")</f>
        <v>43559</v>
      </c>
      <c r="F248" t="str">
        <f>Table_Query_from_sql1[[#This Row],[DateFormatted]]&amp;Table_Query_from_sql1[[#This Row],[Ticker]]</f>
        <v>43559ABBV</v>
      </c>
    </row>
    <row r="249" spans="1:6" x14ac:dyDescent="0.25">
      <c r="A249" t="s">
        <v>255</v>
      </c>
      <c r="B249" t="s">
        <v>256</v>
      </c>
      <c r="C249" s="2">
        <v>7.6988230622354525E-3</v>
      </c>
      <c r="D249" s="2" t="s">
        <v>252</v>
      </c>
      <c r="E249" s="4">
        <f>IF(LEN(Table_Query_from_sql1[[#This Row],[Date]])&gt;0,DATE(LEFT(Table_Query_from_sql1[[#This Row],[Date]],4),MID(Table_Query_from_sql1[[#This Row],[Date]],6,2),RIGHT(Table_Query_from_sql1[[#This Row],[Date]],2)),"")</f>
        <v>43560</v>
      </c>
      <c r="F249" t="str">
        <f>Table_Query_from_sql1[[#This Row],[DateFormatted]]&amp;Table_Query_from_sql1[[#This Row],[Ticker]]</f>
        <v>43560ABBV</v>
      </c>
    </row>
    <row r="250" spans="1:6" x14ac:dyDescent="0.25">
      <c r="A250" t="s">
        <v>255</v>
      </c>
      <c r="B250" t="s">
        <v>256</v>
      </c>
      <c r="C250" s="2">
        <v>6.3310251482032358E-3</v>
      </c>
      <c r="D250" s="2" t="s">
        <v>253</v>
      </c>
      <c r="E250" s="4">
        <f>IF(LEN(Table_Query_from_sql1[[#This Row],[Date]])&gt;0,DATE(LEFT(Table_Query_from_sql1[[#This Row],[Date]],4),MID(Table_Query_from_sql1[[#This Row],[Date]],6,2),RIGHT(Table_Query_from_sql1[[#This Row],[Date]],2)),"")</f>
        <v>43563</v>
      </c>
      <c r="F250" t="str">
        <f>Table_Query_from_sql1[[#This Row],[DateFormatted]]&amp;Table_Query_from_sql1[[#This Row],[Ticker]]</f>
        <v>43563ABBV</v>
      </c>
    </row>
    <row r="251" spans="1:6" x14ac:dyDescent="0.25">
      <c r="A251" t="s">
        <v>255</v>
      </c>
      <c r="B251" t="s">
        <v>256</v>
      </c>
      <c r="C251" s="2">
        <v>-1.5479999521971998E-2</v>
      </c>
      <c r="D251" s="2" t="s">
        <v>254</v>
      </c>
      <c r="E251" s="4">
        <f>IF(LEN(Table_Query_from_sql1[[#This Row],[Date]])&gt;0,DATE(LEFT(Table_Query_from_sql1[[#This Row],[Date]],4),MID(Table_Query_from_sql1[[#This Row],[Date]],6,2),RIGHT(Table_Query_from_sql1[[#This Row],[Date]],2)),"")</f>
        <v>43564</v>
      </c>
      <c r="F251" t="str">
        <f>Table_Query_from_sql1[[#This Row],[DateFormatted]]&amp;Table_Query_from_sql1[[#This Row],[Ticker]]</f>
        <v>43564ABBV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17B6B-9266-43AB-A92C-B2D20725087A}">
  <sheetPr codeName="Sheet2"/>
  <dimension ref="A1:A98"/>
  <sheetViews>
    <sheetView topLeftCell="A7" workbookViewId="0">
      <selection activeCell="A28" sqref="A28"/>
    </sheetView>
  </sheetViews>
  <sheetFormatPr defaultRowHeight="15" x14ac:dyDescent="0.25"/>
  <cols>
    <col min="1" max="1" width="8.5703125" bestFit="1" customWidth="1"/>
  </cols>
  <sheetData>
    <row r="1" spans="1:1" x14ac:dyDescent="0.25">
      <c r="A1" t="s">
        <v>0</v>
      </c>
    </row>
    <row r="2" spans="1:1" x14ac:dyDescent="0.25">
      <c r="A2" t="s">
        <v>4</v>
      </c>
    </row>
    <row r="3" spans="1:1" x14ac:dyDescent="0.25">
      <c r="A3" t="s">
        <v>255</v>
      </c>
    </row>
    <row r="4" spans="1:1" x14ac:dyDescent="0.25">
      <c r="A4" t="s">
        <v>257</v>
      </c>
    </row>
    <row r="5" spans="1:1" x14ac:dyDescent="0.25">
      <c r="A5" t="s">
        <v>258</v>
      </c>
    </row>
    <row r="6" spans="1:1" x14ac:dyDescent="0.25">
      <c r="A6" t="s">
        <v>259</v>
      </c>
    </row>
    <row r="7" spans="1:1" x14ac:dyDescent="0.25">
      <c r="A7" t="s">
        <v>260</v>
      </c>
    </row>
    <row r="8" spans="1:1" x14ac:dyDescent="0.25">
      <c r="A8" t="s">
        <v>261</v>
      </c>
    </row>
    <row r="9" spans="1:1" x14ac:dyDescent="0.25">
      <c r="A9" t="s">
        <v>262</v>
      </c>
    </row>
    <row r="10" spans="1:1" x14ac:dyDescent="0.25">
      <c r="A10" t="s">
        <v>263</v>
      </c>
    </row>
    <row r="11" spans="1:1" x14ac:dyDescent="0.25">
      <c r="A11" t="s">
        <v>264</v>
      </c>
    </row>
    <row r="12" spans="1:1" x14ac:dyDescent="0.25">
      <c r="A12" t="s">
        <v>265</v>
      </c>
    </row>
    <row r="13" spans="1:1" x14ac:dyDescent="0.25">
      <c r="A13" t="s">
        <v>266</v>
      </c>
    </row>
    <row r="14" spans="1:1" x14ac:dyDescent="0.25">
      <c r="A14" t="s">
        <v>267</v>
      </c>
    </row>
    <row r="15" spans="1:1" x14ac:dyDescent="0.25">
      <c r="A15" t="s">
        <v>268</v>
      </c>
    </row>
    <row r="16" spans="1:1" x14ac:dyDescent="0.25">
      <c r="A16" t="s">
        <v>269</v>
      </c>
    </row>
    <row r="17" spans="1:1" x14ac:dyDescent="0.25">
      <c r="A17" t="s">
        <v>270</v>
      </c>
    </row>
    <row r="18" spans="1:1" x14ac:dyDescent="0.25">
      <c r="A18" t="s">
        <v>271</v>
      </c>
    </row>
    <row r="19" spans="1:1" x14ac:dyDescent="0.25">
      <c r="A19" t="s">
        <v>272</v>
      </c>
    </row>
    <row r="20" spans="1:1" x14ac:dyDescent="0.25">
      <c r="A20" t="s">
        <v>273</v>
      </c>
    </row>
    <row r="21" spans="1:1" x14ac:dyDescent="0.25">
      <c r="A21" t="s">
        <v>274</v>
      </c>
    </row>
    <row r="22" spans="1:1" x14ac:dyDescent="0.25">
      <c r="A22" t="s">
        <v>275</v>
      </c>
    </row>
    <row r="23" spans="1:1" x14ac:dyDescent="0.25">
      <c r="A23" t="s">
        <v>276</v>
      </c>
    </row>
    <row r="24" spans="1:1" x14ac:dyDescent="0.25">
      <c r="A24" t="s">
        <v>277</v>
      </c>
    </row>
    <row r="25" spans="1:1" x14ac:dyDescent="0.25">
      <c r="A25" t="s">
        <v>278</v>
      </c>
    </row>
    <row r="26" spans="1:1" x14ac:dyDescent="0.25">
      <c r="A26" t="s">
        <v>279</v>
      </c>
    </row>
    <row r="27" spans="1:1" x14ac:dyDescent="0.25">
      <c r="A27" t="s">
        <v>280</v>
      </c>
    </row>
    <row r="28" spans="1:1" x14ac:dyDescent="0.25">
      <c r="A28" t="s">
        <v>281</v>
      </c>
    </row>
    <row r="29" spans="1:1" x14ac:dyDescent="0.25">
      <c r="A29" t="s">
        <v>282</v>
      </c>
    </row>
    <row r="30" spans="1:1" x14ac:dyDescent="0.25">
      <c r="A30" t="s">
        <v>283</v>
      </c>
    </row>
    <row r="31" spans="1:1" x14ac:dyDescent="0.25">
      <c r="A31" t="s">
        <v>284</v>
      </c>
    </row>
    <row r="32" spans="1:1" x14ac:dyDescent="0.25">
      <c r="A32" t="s">
        <v>285</v>
      </c>
    </row>
    <row r="33" spans="1:1" x14ac:dyDescent="0.25">
      <c r="A33" t="s">
        <v>286</v>
      </c>
    </row>
    <row r="34" spans="1:1" x14ac:dyDescent="0.25">
      <c r="A34" t="s">
        <v>287</v>
      </c>
    </row>
    <row r="35" spans="1:1" x14ac:dyDescent="0.25">
      <c r="A35" t="s">
        <v>288</v>
      </c>
    </row>
    <row r="36" spans="1:1" x14ac:dyDescent="0.25">
      <c r="A36" t="s">
        <v>289</v>
      </c>
    </row>
    <row r="37" spans="1:1" x14ac:dyDescent="0.25">
      <c r="A37" t="s">
        <v>290</v>
      </c>
    </row>
    <row r="38" spans="1:1" x14ac:dyDescent="0.25">
      <c r="A38" t="s">
        <v>291</v>
      </c>
    </row>
    <row r="39" spans="1:1" x14ac:dyDescent="0.25">
      <c r="A39" t="s">
        <v>292</v>
      </c>
    </row>
    <row r="40" spans="1:1" x14ac:dyDescent="0.25">
      <c r="A40" t="s">
        <v>293</v>
      </c>
    </row>
    <row r="41" spans="1:1" x14ac:dyDescent="0.25">
      <c r="A41" t="s">
        <v>294</v>
      </c>
    </row>
    <row r="42" spans="1:1" x14ac:dyDescent="0.25">
      <c r="A42" t="s">
        <v>295</v>
      </c>
    </row>
    <row r="43" spans="1:1" x14ac:dyDescent="0.25">
      <c r="A43" t="s">
        <v>296</v>
      </c>
    </row>
    <row r="44" spans="1:1" x14ac:dyDescent="0.25">
      <c r="A44" t="s">
        <v>297</v>
      </c>
    </row>
    <row r="45" spans="1:1" x14ac:dyDescent="0.25">
      <c r="A45" t="s">
        <v>298</v>
      </c>
    </row>
    <row r="46" spans="1:1" x14ac:dyDescent="0.25">
      <c r="A46" t="s">
        <v>299</v>
      </c>
    </row>
    <row r="47" spans="1:1" x14ac:dyDescent="0.25">
      <c r="A47" t="s">
        <v>300</v>
      </c>
    </row>
    <row r="48" spans="1:1" x14ac:dyDescent="0.25">
      <c r="A48" t="s">
        <v>301</v>
      </c>
    </row>
    <row r="49" spans="1:1" x14ac:dyDescent="0.25">
      <c r="A49" t="s">
        <v>302</v>
      </c>
    </row>
    <row r="50" spans="1:1" x14ac:dyDescent="0.25">
      <c r="A50" t="s">
        <v>303</v>
      </c>
    </row>
    <row r="51" spans="1:1" x14ac:dyDescent="0.25">
      <c r="A51" t="s">
        <v>304</v>
      </c>
    </row>
    <row r="52" spans="1:1" x14ac:dyDescent="0.25">
      <c r="A52" t="s">
        <v>305</v>
      </c>
    </row>
    <row r="53" spans="1:1" x14ac:dyDescent="0.25">
      <c r="A53" t="s">
        <v>306</v>
      </c>
    </row>
    <row r="54" spans="1:1" x14ac:dyDescent="0.25">
      <c r="A54" t="s">
        <v>307</v>
      </c>
    </row>
    <row r="55" spans="1:1" x14ac:dyDescent="0.25">
      <c r="A55" t="s">
        <v>308</v>
      </c>
    </row>
    <row r="56" spans="1:1" x14ac:dyDescent="0.25">
      <c r="A56" t="s">
        <v>309</v>
      </c>
    </row>
    <row r="57" spans="1:1" x14ac:dyDescent="0.25">
      <c r="A57" t="s">
        <v>310</v>
      </c>
    </row>
    <row r="58" spans="1:1" x14ac:dyDescent="0.25">
      <c r="A58" t="s">
        <v>311</v>
      </c>
    </row>
    <row r="59" spans="1:1" x14ac:dyDescent="0.25">
      <c r="A59" t="s">
        <v>312</v>
      </c>
    </row>
    <row r="60" spans="1:1" x14ac:dyDescent="0.25">
      <c r="A60" t="s">
        <v>313</v>
      </c>
    </row>
    <row r="61" spans="1:1" x14ac:dyDescent="0.25">
      <c r="A61" t="s">
        <v>314</v>
      </c>
    </row>
    <row r="62" spans="1:1" x14ac:dyDescent="0.25">
      <c r="A62" t="s">
        <v>315</v>
      </c>
    </row>
    <row r="63" spans="1:1" x14ac:dyDescent="0.25">
      <c r="A63" t="s">
        <v>316</v>
      </c>
    </row>
    <row r="64" spans="1:1" x14ac:dyDescent="0.25">
      <c r="A64" t="s">
        <v>317</v>
      </c>
    </row>
    <row r="65" spans="1:1" x14ac:dyDescent="0.25">
      <c r="A65" t="s">
        <v>318</v>
      </c>
    </row>
    <row r="66" spans="1:1" x14ac:dyDescent="0.25">
      <c r="A66" t="s">
        <v>319</v>
      </c>
    </row>
    <row r="67" spans="1:1" x14ac:dyDescent="0.25">
      <c r="A67" t="s">
        <v>320</v>
      </c>
    </row>
    <row r="68" spans="1:1" x14ac:dyDescent="0.25">
      <c r="A68" t="s">
        <v>321</v>
      </c>
    </row>
    <row r="69" spans="1:1" x14ac:dyDescent="0.25">
      <c r="A69" t="s">
        <v>322</v>
      </c>
    </row>
    <row r="70" spans="1:1" x14ac:dyDescent="0.25">
      <c r="A70" t="s">
        <v>323</v>
      </c>
    </row>
    <row r="71" spans="1:1" x14ac:dyDescent="0.25">
      <c r="A71" t="s">
        <v>324</v>
      </c>
    </row>
    <row r="72" spans="1:1" x14ac:dyDescent="0.25">
      <c r="A72" t="s">
        <v>325</v>
      </c>
    </row>
    <row r="73" spans="1:1" x14ac:dyDescent="0.25">
      <c r="A73" t="s">
        <v>326</v>
      </c>
    </row>
    <row r="74" spans="1:1" x14ac:dyDescent="0.25">
      <c r="A74" t="s">
        <v>327</v>
      </c>
    </row>
    <row r="75" spans="1:1" x14ac:dyDescent="0.25">
      <c r="A75" t="s">
        <v>328</v>
      </c>
    </row>
    <row r="76" spans="1:1" x14ac:dyDescent="0.25">
      <c r="A76" t="s">
        <v>329</v>
      </c>
    </row>
    <row r="77" spans="1:1" x14ac:dyDescent="0.25">
      <c r="A77" t="s">
        <v>330</v>
      </c>
    </row>
    <row r="78" spans="1:1" x14ac:dyDescent="0.25">
      <c r="A78" t="s">
        <v>331</v>
      </c>
    </row>
    <row r="79" spans="1:1" x14ac:dyDescent="0.25">
      <c r="A79" t="s">
        <v>332</v>
      </c>
    </row>
    <row r="80" spans="1:1" x14ac:dyDescent="0.25">
      <c r="A80" t="s">
        <v>333</v>
      </c>
    </row>
    <row r="81" spans="1:1" x14ac:dyDescent="0.25">
      <c r="A81" t="s">
        <v>334</v>
      </c>
    </row>
    <row r="82" spans="1:1" x14ac:dyDescent="0.25">
      <c r="A82" t="s">
        <v>335</v>
      </c>
    </row>
    <row r="83" spans="1:1" x14ac:dyDescent="0.25">
      <c r="A83" t="s">
        <v>336</v>
      </c>
    </row>
    <row r="84" spans="1:1" x14ac:dyDescent="0.25">
      <c r="A84" t="s">
        <v>337</v>
      </c>
    </row>
    <row r="85" spans="1:1" x14ac:dyDescent="0.25">
      <c r="A85" t="s">
        <v>338</v>
      </c>
    </row>
    <row r="86" spans="1:1" x14ac:dyDescent="0.25">
      <c r="A86" t="s">
        <v>339</v>
      </c>
    </row>
    <row r="87" spans="1:1" x14ac:dyDescent="0.25">
      <c r="A87" t="s">
        <v>340</v>
      </c>
    </row>
    <row r="88" spans="1:1" x14ac:dyDescent="0.25">
      <c r="A88" t="s">
        <v>341</v>
      </c>
    </row>
    <row r="89" spans="1:1" x14ac:dyDescent="0.25">
      <c r="A89" t="s">
        <v>342</v>
      </c>
    </row>
    <row r="90" spans="1:1" x14ac:dyDescent="0.25">
      <c r="A90" t="s">
        <v>343</v>
      </c>
    </row>
    <row r="91" spans="1:1" x14ac:dyDescent="0.25">
      <c r="A91" t="s">
        <v>344</v>
      </c>
    </row>
    <row r="92" spans="1:1" x14ac:dyDescent="0.25">
      <c r="A92" t="s">
        <v>345</v>
      </c>
    </row>
    <row r="93" spans="1:1" x14ac:dyDescent="0.25">
      <c r="A93" t="s">
        <v>346</v>
      </c>
    </row>
    <row r="94" spans="1:1" x14ac:dyDescent="0.25">
      <c r="A94" t="s">
        <v>347</v>
      </c>
    </row>
    <row r="95" spans="1:1" x14ac:dyDescent="0.25">
      <c r="A95" t="s">
        <v>348</v>
      </c>
    </row>
    <row r="96" spans="1:1" x14ac:dyDescent="0.25">
      <c r="A96" t="s">
        <v>349</v>
      </c>
    </row>
    <row r="97" spans="1:1" x14ac:dyDescent="0.25">
      <c r="A97" t="s">
        <v>350</v>
      </c>
    </row>
    <row r="98" spans="1:1" x14ac:dyDescent="0.25">
      <c r="A98" t="s">
        <v>351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Charts</vt:lpstr>
      <vt:lpstr>PriceChangeData</vt:lpstr>
      <vt:lpstr>TickerList</vt:lpstr>
      <vt:lpstr>strsql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Thompson</dc:creator>
  <cp:lastModifiedBy>James Thompson</cp:lastModifiedBy>
  <dcterms:created xsi:type="dcterms:W3CDTF">2019-04-10T13:53:02Z</dcterms:created>
  <dcterms:modified xsi:type="dcterms:W3CDTF">2019-04-11T14:01:18Z</dcterms:modified>
</cp:coreProperties>
</file>